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orneatvi.sharepoint.com/sites/Finance/Shared Documents/Bookkeeping/CF Reports/2025/2025 CF Reports/"/>
    </mc:Choice>
  </mc:AlternateContent>
  <xr:revisionPtr revIDLastSave="655" documentId="13_ncr:1_{851F7C5F-AC41-43A8-ABF5-E6F7F49470EC}" xr6:coauthVersionLast="47" xr6:coauthVersionMax="47" xr10:uidLastSave="{7D6157DA-CF24-41FC-AE14-64CC882FF536}"/>
  <bookViews>
    <workbookView xWindow="32790" yWindow="-21600" windowWidth="19410" windowHeight="20985" firstSheet="5" activeTab="6" xr2:uid="{00000000-000D-0000-FFFF-FFFF00000000}"/>
  </bookViews>
  <sheets>
    <sheet name="Jan-Jun 2025" sheetId="1" r:id="rId1"/>
    <sheet name="Jul 2025" sheetId="2" r:id="rId2"/>
    <sheet name="Aug 2025" sheetId="3" r:id="rId3"/>
    <sheet name="Sep 2025" sheetId="4" r:id="rId4"/>
    <sheet name="Oct 2025" sheetId="5" r:id="rId5"/>
    <sheet name="Nov 2025" sheetId="6" r:id="rId6"/>
    <sheet name="Dec 2025" sheetId="7" r:id="rId7"/>
  </sheets>
  <definedNames>
    <definedName name="_xlnm._FilterDatabase" localSheetId="2" hidden="1">'Aug 2025'!$A$1:$P$1</definedName>
    <definedName name="_xlnm._FilterDatabase" localSheetId="6" hidden="1">'Dec 2025'!$A$1:$Q$48</definedName>
    <definedName name="_xlnm._FilterDatabase" localSheetId="1" hidden="1">'Jul 2025'!$A$1:$P$43</definedName>
    <definedName name="_xlnm._FilterDatabase" localSheetId="5" hidden="1">'Nov 2025'!$A$1:$Q$42</definedName>
    <definedName name="_xlnm._FilterDatabase" localSheetId="4" hidden="1">'Oct 2025'!$A$1:$P$86</definedName>
    <definedName name="_xlnm._FilterDatabase" localSheetId="3" hidden="1">'Sep 2025'!$A$1:$Q$13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7" l="1"/>
  <c r="O47" i="7"/>
  <c r="O46" i="7"/>
  <c r="O45" i="7"/>
  <c r="O44" i="7"/>
  <c r="O14" i="7"/>
  <c r="O15" i="7" s="1"/>
  <c r="O16" i="7" s="1"/>
  <c r="O2" i="7"/>
  <c r="O3" i="7" s="1"/>
  <c r="O4" i="7" s="1"/>
  <c r="O5" i="7" s="1"/>
  <c r="O6" i="7" s="1"/>
  <c r="O7" i="7" s="1"/>
  <c r="O8" i="7" s="1"/>
  <c r="O9" i="7" s="1"/>
  <c r="O10" i="7" s="1"/>
  <c r="O11" i="7" s="1"/>
  <c r="O12" i="7" s="1"/>
  <c r="O13" i="7" s="1"/>
  <c r="O17" i="7" s="1"/>
  <c r="O18" i="7" s="1"/>
  <c r="O19" i="7" s="1"/>
  <c r="O20" i="7" s="1"/>
  <c r="O21" i="7" s="1"/>
  <c r="O22" i="7" s="1"/>
  <c r="O23" i="7" s="1"/>
  <c r="O24" i="7" s="1"/>
  <c r="O25" i="7" s="1"/>
  <c r="O26" i="7" s="1"/>
  <c r="O27" i="7" s="1"/>
  <c r="O28" i="7" s="1"/>
  <c r="O29" i="7" l="1"/>
  <c r="O30" i="7" s="1"/>
  <c r="O31" i="7" s="1"/>
  <c r="O88" i="5"/>
  <c r="O81" i="5"/>
  <c r="O82" i="5" s="1"/>
  <c r="O83" i="5" s="1"/>
  <c r="O77" i="5"/>
  <c r="O78" i="5" s="1"/>
  <c r="O79" i="5" s="1"/>
  <c r="O80" i="5" s="1"/>
  <c r="O85" i="5"/>
  <c r="O86" i="5"/>
  <c r="O84" i="5"/>
  <c r="O69" i="5"/>
  <c r="O70" i="5" s="1"/>
  <c r="O71" i="5" s="1"/>
  <c r="O72" i="5" s="1"/>
  <c r="O73" i="5" s="1"/>
  <c r="O74" i="5" s="1"/>
  <c r="O75" i="5" s="1"/>
  <c r="O54" i="5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3" i="5"/>
  <c r="O4" i="5" s="1"/>
  <c r="O5" i="5" s="1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N6" i="3"/>
  <c r="N9" i="2"/>
  <c r="N26" i="4"/>
  <c r="O32" i="7" l="1"/>
  <c r="O33" i="7" l="1"/>
  <c r="O34" i="7" l="1"/>
  <c r="O35" i="7" l="1"/>
  <c r="O36" i="7" s="1"/>
  <c r="O37" i="7" s="1"/>
  <c r="O38" i="7" s="1"/>
  <c r="O39" i="7" s="1"/>
  <c r="O40" i="7" l="1"/>
  <c r="O41" i="7" l="1"/>
  <c r="O42" i="7" s="1"/>
  <c r="O50" i="7" l="1"/>
</calcChain>
</file>

<file path=xl/sharedStrings.xml><?xml version="1.0" encoding="utf-8"?>
<sst xmlns="http://schemas.openxmlformats.org/spreadsheetml/2006/main" count="6482" uniqueCount="1585">
  <si>
    <t>חשבון</t>
  </si>
  <si>
    <t>תאור</t>
  </si>
  <si>
    <t>יתרת פתיחה</t>
  </si>
  <si>
    <t>תאריך למאזן</t>
  </si>
  <si>
    <t>תאריך ערך</t>
  </si>
  <si>
    <t>אסמכתא 1</t>
  </si>
  <si>
    <t>אסמכתא 2</t>
  </si>
  <si>
    <t>פרטים</t>
  </si>
  <si>
    <t>חשבון נגדי</t>
  </si>
  <si>
    <t>תאור חשבון נגדי</t>
  </si>
  <si>
    <t>מס. תנועת היומן</t>
  </si>
  <si>
    <t>סוג תנועה</t>
  </si>
  <si>
    <t>חובה</t>
  </si>
  <si>
    <t>זכות</t>
  </si>
  <si>
    <t>מט.</t>
  </si>
  <si>
    <t>1110101</t>
  </si>
  <si>
    <t>בנק הפועלים 36967</t>
  </si>
  <si>
    <t>8564</t>
  </si>
  <si>
    <t>ישראכרט</t>
  </si>
  <si>
    <t>2123122</t>
  </si>
  <si>
    <t>כ.אשראי 8564 גלעד ש"ח</t>
  </si>
  <si>
    <t>25000001</t>
  </si>
  <si>
    <t>הת</t>
  </si>
  <si>
    <t>USD</t>
  </si>
  <si>
    <t>7604</t>
  </si>
  <si>
    <t>2123120</t>
  </si>
  <si>
    <t>כ.אשראי 7604 לילך ש"ח</t>
  </si>
  <si>
    <t>25000002</t>
  </si>
  <si>
    <t>6884</t>
  </si>
  <si>
    <t>2123111</t>
  </si>
  <si>
    <t>כ.אשראי 6884 אלמוג ש"ח</t>
  </si>
  <si>
    <t>25000003</t>
  </si>
  <si>
    <t>5966259</t>
  </si>
  <si>
    <t>משכורת 12/24</t>
  </si>
  <si>
    <t>2122100</t>
  </si>
  <si>
    <t>חו"ז עובדים A/C Employees</t>
  </si>
  <si>
    <t>25000004</t>
  </si>
  <si>
    <t>פשוטה</t>
  </si>
  <si>
    <t>1110103</t>
  </si>
  <si>
    <t>בנק הפועלים EURO</t>
  </si>
  <si>
    <t>25000078</t>
  </si>
  <si>
    <t>פ</t>
  </si>
  <si>
    <t>BTC2500001</t>
  </si>
  <si>
    <t>העברה בנקאית</t>
  </si>
  <si>
    <t>2111139</t>
  </si>
  <si>
    <t>Lahav CRO</t>
  </si>
  <si>
    <t>25000011</t>
  </si>
  <si>
    <t>העב</t>
  </si>
  <si>
    <t>550001</t>
  </si>
  <si>
    <t>ריבית מפקדון</t>
  </si>
  <si>
    <t>815200</t>
  </si>
  <si>
    <t>25000021</t>
  </si>
  <si>
    <t>1224</t>
  </si>
  <si>
    <t>ריבית</t>
  </si>
  <si>
    <t>815201</t>
  </si>
  <si>
    <t>הוצאות ריבית</t>
  </si>
  <si>
    <t>25000022</t>
  </si>
  <si>
    <t>15997109</t>
  </si>
  <si>
    <t>מכס ומעמ</t>
  </si>
  <si>
    <t>1151104</t>
  </si>
  <si>
    <t>חו"ז מע"מ V.A.T To Be Recieved</t>
  </si>
  <si>
    <t>25000007</t>
  </si>
  <si>
    <t>88367305</t>
  </si>
  <si>
    <t>מס"ב</t>
  </si>
  <si>
    <t>2121103</t>
  </si>
  <si>
    <t>חו"ז ביטוח מנהלים וקרה"ש Management Ins</t>
  </si>
  <si>
    <t>25000008</t>
  </si>
  <si>
    <t>63107080</t>
  </si>
  <si>
    <t>ב"ל מילואים</t>
  </si>
  <si>
    <t>706950</t>
  </si>
  <si>
    <t>תגמולי מילואים</t>
  </si>
  <si>
    <t>25000010</t>
  </si>
  <si>
    <t>32891707</t>
  </si>
  <si>
    <t>פדקס</t>
  </si>
  <si>
    <t>2111111</t>
  </si>
  <si>
    <t>FedEx</t>
  </si>
  <si>
    <t>25000023</t>
  </si>
  <si>
    <t>25000052</t>
  </si>
  <si>
    <t>BTC2500002</t>
  </si>
  <si>
    <t>2112536</t>
  </si>
  <si>
    <t>Yossi Assouline compressors LTD</t>
  </si>
  <si>
    <t>25000024</t>
  </si>
  <si>
    <t>BTC2500003</t>
  </si>
  <si>
    <t>25000025</t>
  </si>
  <si>
    <t>BTC2500004</t>
  </si>
  <si>
    <t>2112742</t>
  </si>
  <si>
    <t>יונקס בעמ</t>
  </si>
  <si>
    <t>25000026</t>
  </si>
  <si>
    <t>BTC2500005</t>
  </si>
  <si>
    <t>2111249</t>
  </si>
  <si>
    <t>Menora Mivtachim</t>
  </si>
  <si>
    <t>25000027</t>
  </si>
  <si>
    <t>BTC2500006</t>
  </si>
  <si>
    <t>2111286</t>
  </si>
  <si>
    <t>Hy Labs</t>
  </si>
  <si>
    <t>25000028</t>
  </si>
  <si>
    <t>BTC2500007</t>
  </si>
  <si>
    <t>2112690</t>
  </si>
  <si>
    <t>תהל יישומים אירגוניים בע"מ</t>
  </si>
  <si>
    <t>25000029</t>
  </si>
  <si>
    <t>BTC2500008</t>
  </si>
  <si>
    <t>הוראת קבע</t>
  </si>
  <si>
    <t>2111104</t>
  </si>
  <si>
    <t>פלאקסי ישראל ב</t>
  </si>
  <si>
    <t>25000030</t>
  </si>
  <si>
    <t>BTC2500009</t>
  </si>
  <si>
    <t>2112566</t>
  </si>
  <si>
    <t>לי-און הנהלת חשבונות בע"מ</t>
  </si>
  <si>
    <t>25000031</t>
  </si>
  <si>
    <t>BTC2500010</t>
  </si>
  <si>
    <t>2111198</t>
  </si>
  <si>
    <t>סו-פאד (1987) בע"מ</t>
  </si>
  <si>
    <t>25000032</t>
  </si>
  <si>
    <t>BTC2500027</t>
  </si>
  <si>
    <t>ביטול ל 25000024</t>
  </si>
  <si>
    <t>25000050</t>
  </si>
  <si>
    <t>BTC2500028</t>
  </si>
  <si>
    <t>25000051</t>
  </si>
  <si>
    <t>25000053</t>
  </si>
  <si>
    <t>2762995</t>
  </si>
  <si>
    <t>מס הכנסה ניכויים</t>
  </si>
  <si>
    <t>2121101</t>
  </si>
  <si>
    <t>מ"ה ניכויים Payroll Taxes</t>
  </si>
  <si>
    <t>25000059</t>
  </si>
  <si>
    <t>BTC2500011</t>
  </si>
  <si>
    <t>25000033</t>
  </si>
  <si>
    <t>38286555</t>
  </si>
  <si>
    <t>ביטוח לאומי</t>
  </si>
  <si>
    <t>2121100</t>
  </si>
  <si>
    <t>ב"ל ניכויים National Insurance</t>
  </si>
  <si>
    <t>25000062</t>
  </si>
  <si>
    <t>25000063</t>
  </si>
  <si>
    <t>25000054</t>
  </si>
  <si>
    <t>BTC2500012</t>
  </si>
  <si>
    <t>2111181</t>
  </si>
  <si>
    <t>MixerMedia</t>
  </si>
  <si>
    <t>25000034</t>
  </si>
  <si>
    <t>BTC2500013</t>
  </si>
  <si>
    <t>25000035</t>
  </si>
  <si>
    <t>RCC25000004</t>
  </si>
  <si>
    <t>קו מלוכסן בע"מ השקעה  12</t>
  </si>
  <si>
    <t>2241152</t>
  </si>
  <si>
    <t>CLA Shuki Gleitman</t>
  </si>
  <si>
    <t>25000065</t>
  </si>
  <si>
    <t>ק</t>
  </si>
  <si>
    <t>אס.ג'י.אל. ייעוץ עבור: ב</t>
  </si>
  <si>
    <t>עוזבר בע"מ</t>
  </si>
  <si>
    <t>BTC2500014</t>
  </si>
  <si>
    <t>25000036</t>
  </si>
  <si>
    <t>BTC2500015</t>
  </si>
  <si>
    <t>2111175</t>
  </si>
  <si>
    <t>Agam Leaders</t>
  </si>
  <si>
    <t>25000037</t>
  </si>
  <si>
    <t>BTC2500016</t>
  </si>
  <si>
    <t>2112663</t>
  </si>
  <si>
    <t>אתגר מכשירים רפואיים בעמ</t>
  </si>
  <si>
    <t>25000038</t>
  </si>
  <si>
    <t>BTC2500017</t>
  </si>
  <si>
    <t>2112591</t>
  </si>
  <si>
    <t>קצת אחרת פתרונות בע"מ</t>
  </si>
  <si>
    <t>25000039</t>
  </si>
  <si>
    <t>BTC2500018</t>
  </si>
  <si>
    <t>2111251</t>
  </si>
  <si>
    <t>Gur Group</t>
  </si>
  <si>
    <t>25000040</t>
  </si>
  <si>
    <t>BTC2500019</t>
  </si>
  <si>
    <t>25000041</t>
  </si>
  <si>
    <t>BTC2500020</t>
  </si>
  <si>
    <t>2111107</t>
  </si>
  <si>
    <t>וירטואל פוינט בעמ</t>
  </si>
  <si>
    <t>25000042</t>
  </si>
  <si>
    <t>BTC2500021</t>
  </si>
  <si>
    <t>2112460</t>
  </si>
  <si>
    <t>Agile ERP אלון לביא</t>
  </si>
  <si>
    <t>25000043</t>
  </si>
  <si>
    <t>BTC2500022</t>
  </si>
  <si>
    <t>25000044</t>
  </si>
  <si>
    <t>BTC2500023</t>
  </si>
  <si>
    <t>25000045</t>
  </si>
  <si>
    <t>BTC2500024</t>
  </si>
  <si>
    <t>2112485</t>
  </si>
  <si>
    <t>יורופינס לי-מד בע"מ</t>
  </si>
  <si>
    <t>25000046</t>
  </si>
  <si>
    <t>BTC2500025</t>
  </si>
  <si>
    <t>2111116</t>
  </si>
  <si>
    <t>Pearl Cohen</t>
  </si>
  <si>
    <t>25000048</t>
  </si>
  <si>
    <t>BTC2500026</t>
  </si>
  <si>
    <t>25000049</t>
  </si>
  <si>
    <t>146343474</t>
  </si>
  <si>
    <t>משכורת - נט</t>
  </si>
  <si>
    <t>25000061</t>
  </si>
  <si>
    <t>המרת מטח</t>
  </si>
  <si>
    <t>1110102</t>
  </si>
  <si>
    <t>בנק הפועלים $</t>
  </si>
  <si>
    <t>25000077</t>
  </si>
  <si>
    <t>ריכוז עמ.בנק 1/25</t>
  </si>
  <si>
    <t>815100</t>
  </si>
  <si>
    <t>מימון -עמלות בנק</t>
  </si>
  <si>
    <t>25000064</t>
  </si>
  <si>
    <t>עמלות 4/25</t>
  </si>
  <si>
    <t>25000628</t>
  </si>
  <si>
    <t>ביטול ל 25000628</t>
  </si>
  <si>
    <t>25000896</t>
  </si>
  <si>
    <t>25000055</t>
  </si>
  <si>
    <t>25000070</t>
  </si>
  <si>
    <t>25000071</t>
  </si>
  <si>
    <t>25000072</t>
  </si>
  <si>
    <t>25000074</t>
  </si>
  <si>
    <t>BTC2500051</t>
  </si>
  <si>
    <t>25000153</t>
  </si>
  <si>
    <t>25000060</t>
  </si>
  <si>
    <t>980001</t>
  </si>
  <si>
    <t>25000056</t>
  </si>
  <si>
    <t>25000057</t>
  </si>
  <si>
    <t>פרעון פקדון</t>
  </si>
  <si>
    <t>1121105</t>
  </si>
  <si>
    <t>פקדון שיקלי בנק הפועלים</t>
  </si>
  <si>
    <t>25000073</t>
  </si>
  <si>
    <t>25000075</t>
  </si>
  <si>
    <t>מס"ב סליקה</t>
  </si>
  <si>
    <t>25000058</t>
  </si>
  <si>
    <t>RCC25000005</t>
  </si>
  <si>
    <t>הד מדיקל</t>
  </si>
  <si>
    <t>2112325</t>
  </si>
  <si>
    <t>הד מדיקל בע"מ</t>
  </si>
  <si>
    <t>25000069</t>
  </si>
  <si>
    <t>250415840008</t>
  </si>
  <si>
    <t>הפקדה לפקדון</t>
  </si>
  <si>
    <t>25000076</t>
  </si>
  <si>
    <t>משיכה מבנקט אלמוג lenovo</t>
  </si>
  <si>
    <t>2112614</t>
  </si>
  <si>
    <t>General Supplier</t>
  </si>
  <si>
    <t>25000154</t>
  </si>
  <si>
    <t>BTC2500052</t>
  </si>
  <si>
    <t>2111231</t>
  </si>
  <si>
    <t>Amos Gazit</t>
  </si>
  <si>
    <t>25000155</t>
  </si>
  <si>
    <t>BTC2500053</t>
  </si>
  <si>
    <t>2112263</t>
  </si>
  <si>
    <t>אינפיניה אריזות בע"מ</t>
  </si>
  <si>
    <t>25000157</t>
  </si>
  <si>
    <t>BTC2500054</t>
  </si>
  <si>
    <t>2111186</t>
  </si>
  <si>
    <t>הראל חברה לביטוח בעמ</t>
  </si>
  <si>
    <t>25000159</t>
  </si>
  <si>
    <t>BTC2500055</t>
  </si>
  <si>
    <t>25000161</t>
  </si>
  <si>
    <t>BTC2500056</t>
  </si>
  <si>
    <t>2112594</t>
  </si>
  <si>
    <t>סמל הגליל</t>
  </si>
  <si>
    <t>25000164</t>
  </si>
  <si>
    <t>BTC2500057</t>
  </si>
  <si>
    <t>2112670</t>
  </si>
  <si>
    <t>סטארט שירותי מיחשוב</t>
  </si>
  <si>
    <t>25000165</t>
  </si>
  <si>
    <t>BTC2500058</t>
  </si>
  <si>
    <t>25000166</t>
  </si>
  <si>
    <t>BTC2500059</t>
  </si>
  <si>
    <t>2111166</t>
  </si>
  <si>
    <t>Lavon Institute - Dr. Ophir Lavon</t>
  </si>
  <si>
    <t>25000167</t>
  </si>
  <si>
    <t>BTC2500060</t>
  </si>
  <si>
    <t>2112756</t>
  </si>
  <si>
    <t>וירטואל פרטנר עמוס טל</t>
  </si>
  <si>
    <t>25000168</t>
  </si>
  <si>
    <t>BTC2500062</t>
  </si>
  <si>
    <t>25000170</t>
  </si>
  <si>
    <t>BTC2500061</t>
  </si>
  <si>
    <t>25000169</t>
  </si>
  <si>
    <t>BTC2500063</t>
  </si>
  <si>
    <t>העברה בנקאית 25% 70172</t>
  </si>
  <si>
    <t>25000171</t>
  </si>
  <si>
    <t>BTC2500064</t>
  </si>
  <si>
    <t>25000172</t>
  </si>
  <si>
    <t>BTC2500065</t>
  </si>
  <si>
    <t>2112693</t>
  </si>
  <si>
    <t>מדימור בע"מ</t>
  </si>
  <si>
    <t>25000173</t>
  </si>
  <si>
    <t>BTC2500066</t>
  </si>
  <si>
    <t>25000174</t>
  </si>
  <si>
    <t>25000175</t>
  </si>
  <si>
    <t>25000176</t>
  </si>
  <si>
    <t>RCC25000007</t>
  </si>
  <si>
    <t>נוראמי מדיקל בעמ</t>
  </si>
  <si>
    <t>1143109</t>
  </si>
  <si>
    <t>נורמי מדיקל בע"מ</t>
  </si>
  <si>
    <t>25000148</t>
  </si>
  <si>
    <t>BTC2500074</t>
  </si>
  <si>
    <t>25000253</t>
  </si>
  <si>
    <t>עמלות 2/25</t>
  </si>
  <si>
    <t>25000239</t>
  </si>
  <si>
    <t>BTC2500075</t>
  </si>
  <si>
    <t>25000254</t>
  </si>
  <si>
    <t>BTC2500076</t>
  </si>
  <si>
    <t>2112606</t>
  </si>
  <si>
    <t>טביב - איכול לסביבה בע"מ</t>
  </si>
  <si>
    <t>25000255</t>
  </si>
  <si>
    <t>BTC2500077</t>
  </si>
  <si>
    <t>2112767</t>
  </si>
  <si>
    <t>ד"ר בובר ורז אופטומטריסטים בע"מ</t>
  </si>
  <si>
    <t>25000256</t>
  </si>
  <si>
    <t>BTC2500078</t>
  </si>
  <si>
    <t>2112723</t>
  </si>
  <si>
    <t>TOTAL TECH</t>
  </si>
  <si>
    <t>25000257</t>
  </si>
  <si>
    <t>BTC2500079</t>
  </si>
  <si>
    <t>2111284</t>
  </si>
  <si>
    <t>Dr. Lionel Sebbag</t>
  </si>
  <si>
    <t>25000258</t>
  </si>
  <si>
    <t>BTC2500080</t>
  </si>
  <si>
    <t>25000259</t>
  </si>
  <si>
    <t>BTC2500081</t>
  </si>
  <si>
    <t>25000260</t>
  </si>
  <si>
    <t>BTC2500082</t>
  </si>
  <si>
    <t>25000261</t>
  </si>
  <si>
    <t>BTC2500083</t>
  </si>
  <si>
    <t>2111305</t>
  </si>
  <si>
    <t>Carmel Laboratories</t>
  </si>
  <si>
    <t>25000262</t>
  </si>
  <si>
    <t>BTC2500084</t>
  </si>
  <si>
    <t>25000263</t>
  </si>
  <si>
    <t>25000240</t>
  </si>
  <si>
    <t>25000241</t>
  </si>
  <si>
    <t>RCC25000008</t>
  </si>
  <si>
    <t>אלישר</t>
  </si>
  <si>
    <t>1143108</t>
  </si>
  <si>
    <t>אלישר פיתוח טכנולוגי בע"מ</t>
  </si>
  <si>
    <t>25000180</t>
  </si>
  <si>
    <t>383199876</t>
  </si>
  <si>
    <t>לילך הלוואה</t>
  </si>
  <si>
    <t>2122110</t>
  </si>
  <si>
    <t>ק.ק זקס לילך</t>
  </si>
  <si>
    <t>25000243</t>
  </si>
  <si>
    <t>148239606</t>
  </si>
  <si>
    <t>משכורת</t>
  </si>
  <si>
    <t>25000244</t>
  </si>
  <si>
    <t>25000245</t>
  </si>
  <si>
    <t>25000246</t>
  </si>
  <si>
    <t>410001</t>
  </si>
  <si>
    <t>25000250</t>
  </si>
  <si>
    <t>25000251</t>
  </si>
  <si>
    <t>25000248</t>
  </si>
  <si>
    <t>25000249</t>
  </si>
  <si>
    <t>BTC2500085</t>
  </si>
  <si>
    <t>25000264</t>
  </si>
  <si>
    <t>BTC2500086</t>
  </si>
  <si>
    <t>25000265</t>
  </si>
  <si>
    <t>RCC25000013</t>
  </si>
  <si>
    <t>KairoSafe</t>
  </si>
  <si>
    <t>2112739</t>
  </si>
  <si>
    <t>25000331</t>
  </si>
  <si>
    <t>25000332</t>
  </si>
  <si>
    <t>BTC2500087</t>
  </si>
  <si>
    <t>25000266</t>
  </si>
  <si>
    <t>BTC2500088</t>
  </si>
  <si>
    <t>25000267</t>
  </si>
  <si>
    <t>BTC2500089</t>
  </si>
  <si>
    <t>25000268</t>
  </si>
  <si>
    <t>25000247</t>
  </si>
  <si>
    <t>BTC2500090</t>
  </si>
  <si>
    <t>2111262</t>
  </si>
  <si>
    <t>bein M.LTD ביין מ.בע"מ</t>
  </si>
  <si>
    <t>25000269</t>
  </si>
  <si>
    <t>BTC2500091</t>
  </si>
  <si>
    <t>25000270</t>
  </si>
  <si>
    <t>BTC2500092</t>
  </si>
  <si>
    <t>25000271</t>
  </si>
  <si>
    <t>BTC2500093</t>
  </si>
  <si>
    <t>2111124</t>
  </si>
  <si>
    <t>IBI</t>
  </si>
  <si>
    <t>25000272</t>
  </si>
  <si>
    <t>BTC2500094</t>
  </si>
  <si>
    <t>25000273</t>
  </si>
  <si>
    <t>BTC2500095</t>
  </si>
  <si>
    <t>2112295</t>
  </si>
  <si>
    <t>קלין פלואו בע"מ</t>
  </si>
  <si>
    <t>25000274</t>
  </si>
  <si>
    <t>BTC2500096</t>
  </si>
  <si>
    <t>25000275</t>
  </si>
  <si>
    <t>בט.יתרה</t>
  </si>
  <si>
    <t>815999</t>
  </si>
  <si>
    <t>ביטולי יתרה</t>
  </si>
  <si>
    <t>25000276</t>
  </si>
  <si>
    <t>RCC25000009</t>
  </si>
  <si>
    <t>קבלה</t>
  </si>
  <si>
    <t>1143110</t>
  </si>
  <si>
    <t>Proventismed Ltd</t>
  </si>
  <si>
    <t>25000215</t>
  </si>
  <si>
    <t>25000242</t>
  </si>
  <si>
    <t>25000277</t>
  </si>
  <si>
    <t>RCC25000010</t>
  </si>
  <si>
    <t>25000252</t>
  </si>
  <si>
    <t>25000310</t>
  </si>
  <si>
    <t>עמלות 3/25</t>
  </si>
  <si>
    <t>25000311</t>
  </si>
  <si>
    <t>2761997</t>
  </si>
  <si>
    <t>מע"מ</t>
  </si>
  <si>
    <t>25000314</t>
  </si>
  <si>
    <t>החזר חיוב-טכני</t>
  </si>
  <si>
    <t>25000315</t>
  </si>
  <si>
    <t>BTC2500106</t>
  </si>
  <si>
    <t>25000316</t>
  </si>
  <si>
    <t>הפרשי שער</t>
  </si>
  <si>
    <t>815300</t>
  </si>
  <si>
    <t>25000898</t>
  </si>
  <si>
    <t>הש</t>
  </si>
  <si>
    <t>BTC2500107</t>
  </si>
  <si>
    <t>25000317</t>
  </si>
  <si>
    <t>BTC2500108</t>
  </si>
  <si>
    <t>25000318</t>
  </si>
  <si>
    <t>BTC2500109</t>
  </si>
  <si>
    <t>2112652</t>
  </si>
  <si>
    <t>דובר מכשור רפואי ומדעי בע"מ</t>
  </si>
  <si>
    <t>25000319</t>
  </si>
  <si>
    <t>BTC2500110</t>
  </si>
  <si>
    <t>25000320</t>
  </si>
  <si>
    <t>BTC2500111</t>
  </si>
  <si>
    <t>25000321</t>
  </si>
  <si>
    <t>149919090</t>
  </si>
  <si>
    <t>משכורת-נט</t>
  </si>
  <si>
    <t>25000326</t>
  </si>
  <si>
    <t>BTC2500115</t>
  </si>
  <si>
    <t>25000328</t>
  </si>
  <si>
    <t>BTC2500153</t>
  </si>
  <si>
    <t>2112775</t>
  </si>
  <si>
    <t>Adi Rozen - Sipur Culinary</t>
  </si>
  <si>
    <t>25000550</t>
  </si>
  <si>
    <t>25000312</t>
  </si>
  <si>
    <t>25000313</t>
  </si>
  <si>
    <t>BTC2500112</t>
  </si>
  <si>
    <t>25000322</t>
  </si>
  <si>
    <t>BTC2500113</t>
  </si>
  <si>
    <t>25000323</t>
  </si>
  <si>
    <t>BTC2500114</t>
  </si>
  <si>
    <t>25000324</t>
  </si>
  <si>
    <t>25000325</t>
  </si>
  <si>
    <t>25000327</t>
  </si>
  <si>
    <t>BTC2500119</t>
  </si>
  <si>
    <t>2112738</t>
  </si>
  <si>
    <t>רומן רויאל דנט בעמ</t>
  </si>
  <si>
    <t>25000409</t>
  </si>
  <si>
    <t>BTC2500120</t>
  </si>
  <si>
    <t>2111283</t>
  </si>
  <si>
    <t>עיבוד שבבי אהרון</t>
  </si>
  <si>
    <t>25000410</t>
  </si>
  <si>
    <t>BTC2500121</t>
  </si>
  <si>
    <t>25000411</t>
  </si>
  <si>
    <t>BTC2500122</t>
  </si>
  <si>
    <t>2112774</t>
  </si>
  <si>
    <t>דניאל סיגלוב - הכובע הצהוב</t>
  </si>
  <si>
    <t>25000412</t>
  </si>
  <si>
    <t>BTC2500123</t>
  </si>
  <si>
    <t>2111145</t>
  </si>
  <si>
    <t>Rabin medical Center</t>
  </si>
  <si>
    <t>25000413</t>
  </si>
  <si>
    <t>BTC2500124</t>
  </si>
  <si>
    <t>25000414</t>
  </si>
  <si>
    <t>BTC2500125</t>
  </si>
  <si>
    <t>2111265</t>
  </si>
  <si>
    <t>פרופ' קליינמן שירותים רפואיים בע"מ</t>
  </si>
  <si>
    <t>25000415</t>
  </si>
  <si>
    <t>BTC2500126</t>
  </si>
  <si>
    <t>2111264</t>
  </si>
  <si>
    <t>Kobi Oz</t>
  </si>
  <si>
    <t>25000416</t>
  </si>
  <si>
    <t>BTC2500127</t>
  </si>
  <si>
    <t>2112733</t>
  </si>
  <si>
    <t>שלום חימי שלום חימי ELECTRICAL POWER</t>
  </si>
  <si>
    <t>25000417</t>
  </si>
  <si>
    <t>BTC2500128</t>
  </si>
  <si>
    <t>25000418</t>
  </si>
  <si>
    <t>BTC2500129</t>
  </si>
  <si>
    <t>25000419</t>
  </si>
  <si>
    <t>BTC2500130</t>
  </si>
  <si>
    <t>25000420</t>
  </si>
  <si>
    <t>BTC2500131</t>
  </si>
  <si>
    <t>25000421</t>
  </si>
  <si>
    <t>BTC2500132</t>
  </si>
  <si>
    <t>25000422</t>
  </si>
  <si>
    <t>BTC2500154</t>
  </si>
  <si>
    <t>25000551</t>
  </si>
  <si>
    <t>RCC25000015</t>
  </si>
  <si>
    <t>Proventismed</t>
  </si>
  <si>
    <t>25000423</t>
  </si>
  <si>
    <t>BTC2500150</t>
  </si>
  <si>
    <t>25000543</t>
  </si>
  <si>
    <t>RCC25000016</t>
  </si>
  <si>
    <t>25000498</t>
  </si>
  <si>
    <t>25000546</t>
  </si>
  <si>
    <t>25000547</t>
  </si>
  <si>
    <t>מס הכנסה</t>
  </si>
  <si>
    <t>25000548</t>
  </si>
  <si>
    <t>BTC2500151</t>
  </si>
  <si>
    <t>25000544</t>
  </si>
  <si>
    <t>BTC2500152</t>
  </si>
  <si>
    <t>2112343</t>
  </si>
  <si>
    <t>קדם שקד טכנולוגיות</t>
  </si>
  <si>
    <t>25000545</t>
  </si>
  <si>
    <t>25115000069</t>
  </si>
  <si>
    <t>תשלום מעמ</t>
  </si>
  <si>
    <t>25000549</t>
  </si>
  <si>
    <t>25000636</t>
  </si>
  <si>
    <t>117000627</t>
  </si>
  <si>
    <t>25000629</t>
  </si>
  <si>
    <t>12807</t>
  </si>
  <si>
    <t>25000635</t>
  </si>
  <si>
    <t>BTC2500164</t>
  </si>
  <si>
    <t>2112551</t>
  </si>
  <si>
    <t>אולפא חדרים נקיים ומעבדות בע"מ</t>
  </si>
  <si>
    <t>25000638</t>
  </si>
  <si>
    <t>151645209</t>
  </si>
  <si>
    <t>25000631</t>
  </si>
  <si>
    <t>BTC2500165</t>
  </si>
  <si>
    <t>25000639</t>
  </si>
  <si>
    <t>BTC2500166</t>
  </si>
  <si>
    <t>2111162</t>
  </si>
  <si>
    <t>פסטו ישראל בע"מ</t>
  </si>
  <si>
    <t>25000640</t>
  </si>
  <si>
    <t>BTC2500167</t>
  </si>
  <si>
    <t>25000641</t>
  </si>
  <si>
    <t>BTC2500168</t>
  </si>
  <si>
    <t>2112511</t>
  </si>
  <si>
    <t>מטביוב מיקי שירותים טכניים (אמ.אמ.טי.אס) בע"מ</t>
  </si>
  <si>
    <t>25000642</t>
  </si>
  <si>
    <t>BTC2500169</t>
  </si>
  <si>
    <t>25000643</t>
  </si>
  <si>
    <t>BTC2500170</t>
  </si>
  <si>
    <t>2112530</t>
  </si>
  <si>
    <t>שרוני ניטור והדברת מזיקים</t>
  </si>
  <si>
    <t>25000644</t>
  </si>
  <si>
    <t>25000897</t>
  </si>
  <si>
    <t>25000632</t>
  </si>
  <si>
    <t>25000633</t>
  </si>
  <si>
    <t>25000634</t>
  </si>
  <si>
    <t>2512458400009</t>
  </si>
  <si>
    <t>25000637</t>
  </si>
  <si>
    <t>BTC2500171</t>
  </si>
  <si>
    <t>2111301</t>
  </si>
  <si>
    <t>Liram</t>
  </si>
  <si>
    <t>25000645</t>
  </si>
  <si>
    <t>25000630</t>
  </si>
  <si>
    <t>BTC2500172</t>
  </si>
  <si>
    <t>25000646</t>
  </si>
  <si>
    <t>רכישת מטח 1500 GBP</t>
  </si>
  <si>
    <t>1110105</t>
  </si>
  <si>
    <t>פועלים GBP</t>
  </si>
  <si>
    <t>25000647</t>
  </si>
  <si>
    <t>10065</t>
  </si>
  <si>
    <t>מטח-קניה STERIS</t>
  </si>
  <si>
    <t>25001143</t>
  </si>
  <si>
    <t>BTC2500176</t>
  </si>
  <si>
    <t>25000764</t>
  </si>
  <si>
    <t>BTC2500177</t>
  </si>
  <si>
    <t>25000765</t>
  </si>
  <si>
    <t>BTC2500178</t>
  </si>
  <si>
    <t>25000766</t>
  </si>
  <si>
    <t>BTC2500179</t>
  </si>
  <si>
    <t>25000767</t>
  </si>
  <si>
    <t>BTC2500180</t>
  </si>
  <si>
    <t>25000768</t>
  </si>
  <si>
    <t>BTC2500181</t>
  </si>
  <si>
    <t>2112725</t>
  </si>
  <si>
    <t>GOwiz</t>
  </si>
  <si>
    <t>25000769</t>
  </si>
  <si>
    <t>BTC2500182</t>
  </si>
  <si>
    <t>25000770</t>
  </si>
  <si>
    <t>BTC2500183</t>
  </si>
  <si>
    <t>25000771</t>
  </si>
  <si>
    <t>2513526800261</t>
  </si>
  <si>
    <t>25001042</t>
  </si>
  <si>
    <t>משיכת פקדון</t>
  </si>
  <si>
    <t>25001051</t>
  </si>
  <si>
    <t>BTC2500187</t>
  </si>
  <si>
    <t>25001059</t>
  </si>
  <si>
    <t>25001044</t>
  </si>
  <si>
    <t>25001045</t>
  </si>
  <si>
    <t>25001046</t>
  </si>
  <si>
    <t>251435840003</t>
  </si>
  <si>
    <t>25001047</t>
  </si>
  <si>
    <t>משיכה מפקדון</t>
  </si>
  <si>
    <t>25001048</t>
  </si>
  <si>
    <t>2514526800205</t>
  </si>
  <si>
    <t>25001049</t>
  </si>
  <si>
    <t>25001050</t>
  </si>
  <si>
    <t>RCC25000018</t>
  </si>
  <si>
    <t>Receipt</t>
  </si>
  <si>
    <t>25000941</t>
  </si>
  <si>
    <t>BTC2500189</t>
  </si>
  <si>
    <t>2111288</t>
  </si>
  <si>
    <t>דר. גוליק בע"מ</t>
  </si>
  <si>
    <t>25001062</t>
  </si>
  <si>
    <t>המרה</t>
  </si>
  <si>
    <t>25001140</t>
  </si>
  <si>
    <t>153479446</t>
  </si>
  <si>
    <t>25001052</t>
  </si>
  <si>
    <t>BTC2500190</t>
  </si>
  <si>
    <t>25001063</t>
  </si>
  <si>
    <t>BTC2500191</t>
  </si>
  <si>
    <t>25001064</t>
  </si>
  <si>
    <t>BTC2500192</t>
  </si>
  <si>
    <t>2112345</t>
  </si>
  <si>
    <t>Yair Erez - ALCONOX</t>
  </si>
  <si>
    <t>25001065</t>
  </si>
  <si>
    <t>BTC2500193</t>
  </si>
  <si>
    <t>2112438</t>
  </si>
  <si>
    <t>סיגמה אולדריץ ישראל בע"מ merck</t>
  </si>
  <si>
    <t>25001066</t>
  </si>
  <si>
    <t>BTC2500194</t>
  </si>
  <si>
    <t>25001067</t>
  </si>
  <si>
    <t>BTC2500195</t>
  </si>
  <si>
    <t>25001068</t>
  </si>
  <si>
    <t>BTC2500196</t>
  </si>
  <si>
    <t>25001069</t>
  </si>
  <si>
    <t>BTC2500197</t>
  </si>
  <si>
    <t>25001071</t>
  </si>
  <si>
    <t>BTC2500198</t>
  </si>
  <si>
    <t>25001072</t>
  </si>
  <si>
    <t>BTC2500199</t>
  </si>
  <si>
    <t>2112409</t>
  </si>
  <si>
    <t>נורטק אמי בע"מ</t>
  </si>
  <si>
    <t>25001073</t>
  </si>
  <si>
    <t>BTC2500200</t>
  </si>
  <si>
    <t>2111225</t>
  </si>
  <si>
    <t>הזורע טכנולוגיות כיול - אגש"ח בע"מ</t>
  </si>
  <si>
    <t>25001074</t>
  </si>
  <si>
    <t>BTC2500201</t>
  </si>
  <si>
    <t>25001075</t>
  </si>
  <si>
    <t>BTC2500202</t>
  </si>
  <si>
    <t>2112718</t>
  </si>
  <si>
    <t>מדעית שערי צדק בע"מ</t>
  </si>
  <si>
    <t>25001076</t>
  </si>
  <si>
    <t>BTC2500203</t>
  </si>
  <si>
    <t>2111199</t>
  </si>
  <si>
    <t>MRC Lab</t>
  </si>
  <si>
    <t>25001077</t>
  </si>
  <si>
    <t>עמלות 5/25</t>
  </si>
  <si>
    <t>25001041</t>
  </si>
  <si>
    <t>99031330</t>
  </si>
  <si>
    <t>זקס-החזר יתרה</t>
  </si>
  <si>
    <t>2122003</t>
  </si>
  <si>
    <t>הלוואות לעובדים</t>
  </si>
  <si>
    <t>25001053</t>
  </si>
  <si>
    <t>25001055</t>
  </si>
  <si>
    <t>25001056</t>
  </si>
  <si>
    <t>25001057</t>
  </si>
  <si>
    <t>148720</t>
  </si>
  <si>
    <t>רכישת GBP</t>
  </si>
  <si>
    <t>25001239</t>
  </si>
  <si>
    <t>החזר מעמ</t>
  </si>
  <si>
    <t>25001054</t>
  </si>
  <si>
    <t>RCC25000019</t>
  </si>
  <si>
    <t>Recipt</t>
  </si>
  <si>
    <t>25001058</t>
  </si>
  <si>
    <t>25001043</t>
  </si>
  <si>
    <t>BTC2500188</t>
  </si>
  <si>
    <t>25001060</t>
  </si>
  <si>
    <t>25001223</t>
  </si>
  <si>
    <t>BTC2500223</t>
  </si>
  <si>
    <t>25001240</t>
  </si>
  <si>
    <t>BTC2500224</t>
  </si>
  <si>
    <t>25001241</t>
  </si>
  <si>
    <t>BTC2500225</t>
  </si>
  <si>
    <t>25001242</t>
  </si>
  <si>
    <t>BTC2500226</t>
  </si>
  <si>
    <t>25001243</t>
  </si>
  <si>
    <t>BTC2500227</t>
  </si>
  <si>
    <t>25001244</t>
  </si>
  <si>
    <t>BTC2500228</t>
  </si>
  <si>
    <t>2112787</t>
  </si>
  <si>
    <t>Gal-Yam</t>
  </si>
  <si>
    <t>25001245</t>
  </si>
  <si>
    <t>25001211</t>
  </si>
  <si>
    <t>25001212</t>
  </si>
  <si>
    <t>25001213</t>
  </si>
  <si>
    <t>RCC25000020</t>
  </si>
  <si>
    <t>25001138</t>
  </si>
  <si>
    <t>BTC2500229</t>
  </si>
  <si>
    <t>25001246</t>
  </si>
  <si>
    <t>BTC2500215</t>
  </si>
  <si>
    <t>2112784</t>
  </si>
  <si>
    <t>LLK - Energy</t>
  </si>
  <si>
    <t>25001173</t>
  </si>
  <si>
    <t>עמלות 6/25</t>
  </si>
  <si>
    <t>25001219</t>
  </si>
  <si>
    <t>13695</t>
  </si>
  <si>
    <t>המרת מט"ח</t>
  </si>
  <si>
    <t>25001237</t>
  </si>
  <si>
    <t>BTC2500230</t>
  </si>
  <si>
    <t>2112505</t>
  </si>
  <si>
    <t>שירטרוניקס בע"מ</t>
  </si>
  <si>
    <t>25001247</t>
  </si>
  <si>
    <t>BTC2500231</t>
  </si>
  <si>
    <t>25001248</t>
  </si>
  <si>
    <t>BTC2500232</t>
  </si>
  <si>
    <t>25001249</t>
  </si>
  <si>
    <t>BTC2500233</t>
  </si>
  <si>
    <t>2111110</t>
  </si>
  <si>
    <t>WOPA</t>
  </si>
  <si>
    <t>25001250</t>
  </si>
  <si>
    <t>BTC2500234</t>
  </si>
  <si>
    <t>25001251</t>
  </si>
  <si>
    <t>BTC2500235</t>
  </si>
  <si>
    <t>25001252</t>
  </si>
  <si>
    <t>BTC2500236</t>
  </si>
  <si>
    <t>25001253</t>
  </si>
  <si>
    <t>BTC2500237</t>
  </si>
  <si>
    <t>25001254</t>
  </si>
  <si>
    <t>BTC2500238</t>
  </si>
  <si>
    <t>2112297</t>
  </si>
  <si>
    <t>PK LABS</t>
  </si>
  <si>
    <t>25001255</t>
  </si>
  <si>
    <t>BTC2500239</t>
  </si>
  <si>
    <t>2112781</t>
  </si>
  <si>
    <t>Neumo-Vargus Marketing</t>
  </si>
  <si>
    <t>25001256</t>
  </si>
  <si>
    <t>BTC2500240</t>
  </si>
  <si>
    <t>2112783</t>
  </si>
  <si>
    <t>קרן קוניג</t>
  </si>
  <si>
    <t>25001257</t>
  </si>
  <si>
    <t>BTC2500241</t>
  </si>
  <si>
    <t>25001258</t>
  </si>
  <si>
    <t>יורוקרד</t>
  </si>
  <si>
    <t>2123123</t>
  </si>
  <si>
    <t>כ.אשראי  8564 גלעד USD</t>
  </si>
  <si>
    <t>25000005</t>
  </si>
  <si>
    <t>יורוקארד</t>
  </si>
  <si>
    <t>2123112</t>
  </si>
  <si>
    <t>כ.אשראי 6884 אלמוג USD</t>
  </si>
  <si>
    <t>25000006</t>
  </si>
  <si>
    <t>BTC2500029</t>
  </si>
  <si>
    <t>2112210</t>
  </si>
  <si>
    <t>UHN-Toronto Western Hospital</t>
  </si>
  <si>
    <t>25000084</t>
  </si>
  <si>
    <t>uhn 24-1120</t>
  </si>
  <si>
    <t>25000092</t>
  </si>
  <si>
    <t>RCC25000001</t>
  </si>
  <si>
    <t>ATI kPro Army #14</t>
  </si>
  <si>
    <t>2241146</t>
  </si>
  <si>
    <t>ATI-Advanced Technology International Grant</t>
  </si>
  <si>
    <t>25000014</t>
  </si>
  <si>
    <t>BTC2500030</t>
  </si>
  <si>
    <t>2112631</t>
  </si>
  <si>
    <t>Guest Krieger Limited</t>
  </si>
  <si>
    <t>25000085</t>
  </si>
  <si>
    <t>RCC25000002</t>
  </si>
  <si>
    <t>ATI gPatch Navy 17,19,20</t>
  </si>
  <si>
    <t>25000015</t>
  </si>
  <si>
    <t>BTC2500031</t>
  </si>
  <si>
    <t>2112509</t>
  </si>
  <si>
    <t>Arnon, Tadmor, Levy</t>
  </si>
  <si>
    <t>25000086</t>
  </si>
  <si>
    <t>BTC2500032</t>
  </si>
  <si>
    <t>2112197</t>
  </si>
  <si>
    <t>ASCRS</t>
  </si>
  <si>
    <t>25000087</t>
  </si>
  <si>
    <t>BTC2500033</t>
  </si>
  <si>
    <t>2112630</t>
  </si>
  <si>
    <t>Nextvel Consulting LLP</t>
  </si>
  <si>
    <t>25000088</t>
  </si>
  <si>
    <t>BTC2500034</t>
  </si>
  <si>
    <t>2111146</t>
  </si>
  <si>
    <t>EY</t>
  </si>
  <si>
    <t>25000089</t>
  </si>
  <si>
    <t>RCC25000003</t>
  </si>
  <si>
    <t>ATI kPro Army 13,19,23</t>
  </si>
  <si>
    <t>25000016</t>
  </si>
  <si>
    <t>2123121</t>
  </si>
  <si>
    <t>כ.אשראי 7604 לילך USD</t>
  </si>
  <si>
    <t>25000080</t>
  </si>
  <si>
    <t>134685</t>
  </si>
  <si>
    <t>העברה לחשבון SVB</t>
  </si>
  <si>
    <t>1110106</t>
  </si>
  <si>
    <t>בנק SVB</t>
  </si>
  <si>
    <t>25000079</t>
  </si>
  <si>
    <t>BTC2500035</t>
  </si>
  <si>
    <t>2112208</t>
  </si>
  <si>
    <t>Adam Ben Gigi</t>
  </si>
  <si>
    <t>25000090</t>
  </si>
  <si>
    <t>BTC2500036</t>
  </si>
  <si>
    <t>2111150</t>
  </si>
  <si>
    <t>Signal Tours</t>
  </si>
  <si>
    <t>25000091</t>
  </si>
  <si>
    <t>25000081</t>
  </si>
  <si>
    <t>25000082</t>
  </si>
  <si>
    <t>3310007</t>
  </si>
  <si>
    <t>הקמת פקדון</t>
  </si>
  <si>
    <t>1122200</t>
  </si>
  <si>
    <t>פקדון דולרי בנק הפועלים</t>
  </si>
  <si>
    <t>25000083</t>
  </si>
  <si>
    <t>RCC25000006</t>
  </si>
  <si>
    <t>ATI kPro Army 17</t>
  </si>
  <si>
    <t>25000147</t>
  </si>
  <si>
    <t>BTC2500048</t>
  </si>
  <si>
    <t>2112641</t>
  </si>
  <si>
    <t>HERITAGE Exposition Services, Inc.</t>
  </si>
  <si>
    <t>25000146</t>
  </si>
  <si>
    <t>BTC2500050</t>
  </si>
  <si>
    <t>NETWORK TECHNOLOGY DEVEL</t>
  </si>
  <si>
    <t>2112344</t>
  </si>
  <si>
    <t>NETWORK TECHNOLOGY DEVELOPMENT</t>
  </si>
  <si>
    <t>25000152</t>
  </si>
  <si>
    <t>25000144</t>
  </si>
  <si>
    <t>BTC2500049</t>
  </si>
  <si>
    <t>25000150</t>
  </si>
  <si>
    <t>25000278</t>
  </si>
  <si>
    <t>16445</t>
  </si>
  <si>
    <t>מימוש אופציות 12-568-241</t>
  </si>
  <si>
    <t>25000279</t>
  </si>
  <si>
    <t>137596</t>
  </si>
  <si>
    <t>העברה לSVB</t>
  </si>
  <si>
    <t>25000281</t>
  </si>
  <si>
    <t>BTC2500097</t>
  </si>
  <si>
    <t>2112200</t>
  </si>
  <si>
    <t>CPA Global</t>
  </si>
  <si>
    <t>25000293</t>
  </si>
  <si>
    <t>BTC2500098</t>
  </si>
  <si>
    <t>2112537</t>
  </si>
  <si>
    <t>Charles River Laboratories / AccelLab</t>
  </si>
  <si>
    <t>25000295</t>
  </si>
  <si>
    <t>BTC2500099</t>
  </si>
  <si>
    <t>25000297</t>
  </si>
  <si>
    <t>BTC2500100</t>
  </si>
  <si>
    <t>25000298</t>
  </si>
  <si>
    <t>BTC2500101</t>
  </si>
  <si>
    <t>25000299</t>
  </si>
  <si>
    <t>25000282</t>
  </si>
  <si>
    <t>25000284</t>
  </si>
  <si>
    <t>RCC25000011</t>
  </si>
  <si>
    <t>ATI kPro Army 5</t>
  </si>
  <si>
    <t>25000286</t>
  </si>
  <si>
    <t>RCC25000012</t>
  </si>
  <si>
    <t>ADVANCED TECH NAVY</t>
  </si>
  <si>
    <t>25000304</t>
  </si>
  <si>
    <t>BTC2500102</t>
  </si>
  <si>
    <t>2112101</t>
  </si>
  <si>
    <t>GF tooling and moulding</t>
  </si>
  <si>
    <t>25000300</t>
  </si>
  <si>
    <t>110325</t>
  </si>
  <si>
    <t>25000280</t>
  </si>
  <si>
    <t>6117689</t>
  </si>
  <si>
    <t>ריבית זכות</t>
  </si>
  <si>
    <t>25000285</t>
  </si>
  <si>
    <t>25000283</t>
  </si>
  <si>
    <t>BTC2500103</t>
  </si>
  <si>
    <t>2112100</t>
  </si>
  <si>
    <t>Syntec Optics</t>
  </si>
  <si>
    <t>25000301</t>
  </si>
  <si>
    <t>BTC2500104</t>
  </si>
  <si>
    <t>25000302</t>
  </si>
  <si>
    <t>BTC2500105</t>
  </si>
  <si>
    <t>25000303</t>
  </si>
  <si>
    <t>25000906</t>
  </si>
  <si>
    <t>25000329</t>
  </si>
  <si>
    <t>25000330</t>
  </si>
  <si>
    <t>BTC2500133</t>
  </si>
  <si>
    <t>2112772</t>
  </si>
  <si>
    <t>Dassault Systemes</t>
  </si>
  <si>
    <t>25000424</t>
  </si>
  <si>
    <t>25000648</t>
  </si>
  <si>
    <t>BTC2500155</t>
  </si>
  <si>
    <t>25000552</t>
  </si>
  <si>
    <t>144809</t>
  </si>
  <si>
    <t>25000649</t>
  </si>
  <si>
    <t>144807</t>
  </si>
  <si>
    <t>Providance</t>
  </si>
  <si>
    <t>2112535</t>
  </si>
  <si>
    <t>Providence Health Care Society</t>
  </si>
  <si>
    <t>25000650</t>
  </si>
  <si>
    <t>huruers</t>
  </si>
  <si>
    <t>25000651</t>
  </si>
  <si>
    <t>25000652</t>
  </si>
  <si>
    <t>3310035</t>
  </si>
  <si>
    <t>25000653</t>
  </si>
  <si>
    <t>BTC2500173</t>
  </si>
  <si>
    <t>2112777</t>
  </si>
  <si>
    <t>Plastopia</t>
  </si>
  <si>
    <t>25000654</t>
  </si>
  <si>
    <t>BTC2500184</t>
  </si>
  <si>
    <t>25000772</t>
  </si>
  <si>
    <t>BTC2500185</t>
  </si>
  <si>
    <t>25000773</t>
  </si>
  <si>
    <t>BTC2500204</t>
  </si>
  <si>
    <t>25001080</t>
  </si>
  <si>
    <t>25001078</t>
  </si>
  <si>
    <t>25001079</t>
  </si>
  <si>
    <t>6116774</t>
  </si>
  <si>
    <t>25001231</t>
  </si>
  <si>
    <t>25001232</t>
  </si>
  <si>
    <t>מס הכנסה מריבית</t>
  </si>
  <si>
    <t>815202</t>
  </si>
  <si>
    <t>25001233</t>
  </si>
  <si>
    <t>RCC25000021</t>
  </si>
  <si>
    <t>25001210</t>
  </si>
  <si>
    <t>BTC2500218</t>
  </si>
  <si>
    <t>25001229</t>
  </si>
  <si>
    <t>BTC2500219</t>
  </si>
  <si>
    <t>2112764</t>
  </si>
  <si>
    <t>Dr. Shroffs Charity Eye Hospital</t>
  </si>
  <si>
    <t>25001230</t>
  </si>
  <si>
    <t>BTC2500220</t>
  </si>
  <si>
    <t>העברה בנקאית 841565</t>
  </si>
  <si>
    <t>25001234</t>
  </si>
  <si>
    <t>BTC2500221</t>
  </si>
  <si>
    <t>העברה בנקאית 845966</t>
  </si>
  <si>
    <t>25001235</t>
  </si>
  <si>
    <t>BTC2500222</t>
  </si>
  <si>
    <t>25001236</t>
  </si>
  <si>
    <t>ריכוז עמ 1/25</t>
  </si>
  <si>
    <t>25000093</t>
  </si>
  <si>
    <t>2123124</t>
  </si>
  <si>
    <t>כ.אשראי 8564 גלעד EUR</t>
  </si>
  <si>
    <t>25000094</t>
  </si>
  <si>
    <t>25000095</t>
  </si>
  <si>
    <t>BTC2500046</t>
  </si>
  <si>
    <t>2112204</t>
  </si>
  <si>
    <t>Nordic Innovators P/S</t>
  </si>
  <si>
    <t>25000141</t>
  </si>
  <si>
    <t>BTC2500047</t>
  </si>
  <si>
    <t>2112205</t>
  </si>
  <si>
    <t>OBELIS S.A</t>
  </si>
  <si>
    <t>25000142</t>
  </si>
  <si>
    <t>3310002</t>
  </si>
  <si>
    <t>1122201</t>
  </si>
  <si>
    <t>פקדון יורו בנק הפועלים</t>
  </si>
  <si>
    <t>25000143</t>
  </si>
  <si>
    <t>25000333</t>
  </si>
  <si>
    <t>BTC2500118</t>
  </si>
  <si>
    <t>2112320</t>
  </si>
  <si>
    <t>BSI Assurance UK Ltd</t>
  </si>
  <si>
    <t>25000341</t>
  </si>
  <si>
    <t>25000334</t>
  </si>
  <si>
    <t>2123113</t>
  </si>
  <si>
    <t>כ.אשראי 6884 אלמוג EUR</t>
  </si>
  <si>
    <t>25000337</t>
  </si>
  <si>
    <t>6117657</t>
  </si>
  <si>
    <t>25000335</t>
  </si>
  <si>
    <t>פרען פיקדון</t>
  </si>
  <si>
    <t>25000336</t>
  </si>
  <si>
    <t>BTC2500116</t>
  </si>
  <si>
    <t>25000338</t>
  </si>
  <si>
    <t>25000904</t>
  </si>
  <si>
    <t>BTC2500117</t>
  </si>
  <si>
    <t>25000339</t>
  </si>
  <si>
    <t>BTC2500134</t>
  </si>
  <si>
    <t>2112188</t>
  </si>
  <si>
    <t>BSI Group Italia S.r.l.</t>
  </si>
  <si>
    <t>25000425</t>
  </si>
  <si>
    <t>143479</t>
  </si>
  <si>
    <t>25000663</t>
  </si>
  <si>
    <t>BTC2500174</t>
  </si>
  <si>
    <t>2112256</t>
  </si>
  <si>
    <t>Bioinicia FLUIDNATEK, S.L.U.</t>
  </si>
  <si>
    <t>25000664</t>
  </si>
  <si>
    <t>BTC2500175</t>
  </si>
  <si>
    <t>2112173</t>
  </si>
  <si>
    <t>Amsterdam UMC</t>
  </si>
  <si>
    <t>25000665</t>
  </si>
  <si>
    <t>25000666</t>
  </si>
  <si>
    <t>3310036</t>
  </si>
  <si>
    <t>25000662</t>
  </si>
  <si>
    <t>25001082</t>
  </si>
  <si>
    <t>25001081</t>
  </si>
  <si>
    <t>25001083</t>
  </si>
  <si>
    <t>יורקרד</t>
  </si>
  <si>
    <t>25001084</t>
  </si>
  <si>
    <t>6116775</t>
  </si>
  <si>
    <t>25001220</t>
  </si>
  <si>
    <t>25001221</t>
  </si>
  <si>
    <t>25001222</t>
  </si>
  <si>
    <t>144808</t>
  </si>
  <si>
    <t>עמלה</t>
  </si>
  <si>
    <t>25001228</t>
  </si>
  <si>
    <t>BTC2500216</t>
  </si>
  <si>
    <t>Bank Transfer</t>
  </si>
  <si>
    <t>2112782</t>
  </si>
  <si>
    <t>Holmes Place Brands B.V.</t>
  </si>
  <si>
    <t>25001224</t>
  </si>
  <si>
    <t>BTC2500217</t>
  </si>
  <si>
    <t>25001226</t>
  </si>
  <si>
    <t>עמלת בנק</t>
  </si>
  <si>
    <t>25001227</t>
  </si>
  <si>
    <t>25000905</t>
  </si>
  <si>
    <t>BTC2500213</t>
  </si>
  <si>
    <t>2112103</t>
  </si>
  <si>
    <t>Steris</t>
  </si>
  <si>
    <t>25001141</t>
  </si>
  <si>
    <t>BTC2500214</t>
  </si>
  <si>
    <t>25001142</t>
  </si>
  <si>
    <t>Business Travel Refund</t>
  </si>
  <si>
    <t>2122102</t>
  </si>
  <si>
    <t>ק.ק גלעד</t>
  </si>
  <si>
    <t>25000099</t>
  </si>
  <si>
    <t>2025002001513200</t>
  </si>
  <si>
    <t>Received</t>
  </si>
  <si>
    <t>1143106</t>
  </si>
  <si>
    <t>Centro Optico Casin S.A.</t>
  </si>
  <si>
    <t>25000102</t>
  </si>
  <si>
    <t>Wire Returned</t>
  </si>
  <si>
    <t>25000096</t>
  </si>
  <si>
    <t>Wire returned</t>
  </si>
  <si>
    <t>25000103</t>
  </si>
  <si>
    <t>ביטול ל 25000096</t>
  </si>
  <si>
    <t>25000104</t>
  </si>
  <si>
    <t>Transfer to INC</t>
  </si>
  <si>
    <t>1143102</t>
  </si>
  <si>
    <t>CorNeat Vision INC.</t>
  </si>
  <si>
    <t>25000100</t>
  </si>
  <si>
    <t>25000101</t>
  </si>
  <si>
    <t>AMWINS</t>
  </si>
  <si>
    <t>2112248</t>
  </si>
  <si>
    <t>Amwins</t>
  </si>
  <si>
    <t>25000098</t>
  </si>
  <si>
    <t>Regulatory</t>
  </si>
  <si>
    <t>2112238</t>
  </si>
  <si>
    <t>Regulatory pathways</t>
  </si>
  <si>
    <t>25000097</t>
  </si>
  <si>
    <t>Payment to EyeMinds</t>
  </si>
  <si>
    <t>1143103</t>
  </si>
  <si>
    <t>EyeMinds Ophthalmics LLC</t>
  </si>
  <si>
    <t>25000019</t>
  </si>
  <si>
    <t>2112744</t>
  </si>
  <si>
    <t>LabCorp - Bedford</t>
  </si>
  <si>
    <t>25000344</t>
  </si>
  <si>
    <t>2112654</t>
  </si>
  <si>
    <t>Invision Biomedical Group Inc.</t>
  </si>
  <si>
    <t>25000345</t>
  </si>
  <si>
    <t>החזר הוצ' נסיעה עסקית</t>
  </si>
  <si>
    <t>25000347</t>
  </si>
  <si>
    <t>2151105</t>
  </si>
  <si>
    <t>חו"ז CorNeat INC</t>
  </si>
  <si>
    <t>25000342</t>
  </si>
  <si>
    <t>החזר ASCRS</t>
  </si>
  <si>
    <t>25000346</t>
  </si>
  <si>
    <t>25000348</t>
  </si>
  <si>
    <t>Transfer to Inc</t>
  </si>
  <si>
    <t>25000343</t>
  </si>
  <si>
    <t>25000889</t>
  </si>
  <si>
    <t>CLA Play Marimba</t>
  </si>
  <si>
    <t>2241156</t>
  </si>
  <si>
    <t>Tobias Sparks &amp; Kusuma Sparks</t>
  </si>
  <si>
    <t>25000427</t>
  </si>
  <si>
    <t>25000426</t>
  </si>
  <si>
    <t>CLA INSPIRA</t>
  </si>
  <si>
    <t>25000428</t>
  </si>
  <si>
    <t>25000429</t>
  </si>
  <si>
    <t>החזר 523181,183,185</t>
  </si>
  <si>
    <t>25000667</t>
  </si>
  <si>
    <t>2112150</t>
  </si>
  <si>
    <t>LSI</t>
  </si>
  <si>
    <t>25000668</t>
  </si>
  <si>
    <t>25000669</t>
  </si>
  <si>
    <t>25000670</t>
  </si>
  <si>
    <t>2112745</t>
  </si>
  <si>
    <t>StageBio</t>
  </si>
  <si>
    <t>25000671</t>
  </si>
  <si>
    <t>Syntec Optic</t>
  </si>
  <si>
    <t>25001085</t>
  </si>
  <si>
    <t>LEVITATE</t>
  </si>
  <si>
    <t>2112778</t>
  </si>
  <si>
    <t>25001086</t>
  </si>
  <si>
    <t>25001089</t>
  </si>
  <si>
    <t>25001087</t>
  </si>
  <si>
    <t>InVision</t>
  </si>
  <si>
    <t>25001088</t>
  </si>
  <si>
    <t>HIGHPOWER payment</t>
  </si>
  <si>
    <t>2112643</t>
  </si>
  <si>
    <t>HIGHPOWER VALIDATION TESTING &amp; LAB SERVICES</t>
  </si>
  <si>
    <t>25001351</t>
  </si>
  <si>
    <t>25001350</t>
  </si>
  <si>
    <t>25001348</t>
  </si>
  <si>
    <t>25001349</t>
  </si>
  <si>
    <t>1110110</t>
  </si>
  <si>
    <t>בנק הפועלים CHF</t>
  </si>
  <si>
    <t>25000903</t>
  </si>
  <si>
    <t>1110111</t>
  </si>
  <si>
    <t>PayPal USD</t>
  </si>
  <si>
    <t>RCC25000014</t>
  </si>
  <si>
    <t>1143111</t>
  </si>
  <si>
    <t>Sensho-kai Eye Institute</t>
  </si>
  <si>
    <t>25000385</t>
  </si>
  <si>
    <t>RCC25000017</t>
  </si>
  <si>
    <t>25000730</t>
  </si>
  <si>
    <t>עמלה Paypal</t>
  </si>
  <si>
    <t>25001144</t>
  </si>
  <si>
    <t>155290570</t>
  </si>
  <si>
    <t>משכורת-נטו</t>
  </si>
  <si>
    <t>25001215</t>
  </si>
  <si>
    <t>salary</t>
  </si>
  <si>
    <t>BTC2500242</t>
  </si>
  <si>
    <t>2112789</t>
  </si>
  <si>
    <t>Studio Dan Lev</t>
  </si>
  <si>
    <t>25001259</t>
  </si>
  <si>
    <t>supplier</t>
  </si>
  <si>
    <t>25001216</t>
  </si>
  <si>
    <t>25001217</t>
  </si>
  <si>
    <t>BTC2500243</t>
  </si>
  <si>
    <t>2112790</t>
  </si>
  <si>
    <t>צביקה פישר</t>
  </si>
  <si>
    <t>25001260</t>
  </si>
  <si>
    <t>625</t>
  </si>
  <si>
    <t>רבית</t>
  </si>
  <si>
    <t>25001261</t>
  </si>
  <si>
    <t>מס"ב - סליקה</t>
  </si>
  <si>
    <t>25001214</t>
  </si>
  <si>
    <t>מכס ומע"מ</t>
  </si>
  <si>
    <t>25001218</t>
  </si>
  <si>
    <t>BTC2500265</t>
  </si>
  <si>
    <t>הוראת קבע פדקס</t>
  </si>
  <si>
    <t>25001342</t>
  </si>
  <si>
    <t>BTC2500267</t>
  </si>
  <si>
    <t>הוראת קבע סיבוס</t>
  </si>
  <si>
    <t>25001344</t>
  </si>
  <si>
    <t>ביטוח לאומי ניכויים</t>
  </si>
  <si>
    <t>25001346</t>
  </si>
  <si>
    <t>BTC2500250</t>
  </si>
  <si>
    <t>2112298</t>
  </si>
  <si>
    <t>סיינס אין אקשן בעמ</t>
  </si>
  <si>
    <t>25001321</t>
  </si>
  <si>
    <t>BTC2500251</t>
  </si>
  <si>
    <t>25001322</t>
  </si>
  <si>
    <t>BTC2500252</t>
  </si>
  <si>
    <t>25001323</t>
  </si>
  <si>
    <t>BTC2500253</t>
  </si>
  <si>
    <t>25001324</t>
  </si>
  <si>
    <t>BTC2500254</t>
  </si>
  <si>
    <t>25001325</t>
  </si>
  <si>
    <t>BTC2500255</t>
  </si>
  <si>
    <t>2112743</t>
  </si>
  <si>
    <t>שרגא עבודות אינסטלציה ושיפוצים</t>
  </si>
  <si>
    <t>25001326</t>
  </si>
  <si>
    <t>BTC2500256</t>
  </si>
  <si>
    <t>2112691</t>
  </si>
  <si>
    <t>וירטהיים בע"מ</t>
  </si>
  <si>
    <t>25001327</t>
  </si>
  <si>
    <t>BTC2500257</t>
  </si>
  <si>
    <t>25001328</t>
  </si>
  <si>
    <t>BTC2500258</t>
  </si>
  <si>
    <t>25001329</t>
  </si>
  <si>
    <t>BTC2500259</t>
  </si>
  <si>
    <t>25001331</t>
  </si>
  <si>
    <t>BTC2500260</t>
  </si>
  <si>
    <t>2111180</t>
  </si>
  <si>
    <t>Work In Co.</t>
  </si>
  <si>
    <t>25001332</t>
  </si>
  <si>
    <t>BTC2500266</t>
  </si>
  <si>
    <t>25001343</t>
  </si>
  <si>
    <t>25001345</t>
  </si>
  <si>
    <t>407400464</t>
  </si>
  <si>
    <t>Global Remit-conversion</t>
  </si>
  <si>
    <t>1110112</t>
  </si>
  <si>
    <t>גלובל רמיט - שירותי מטבע בע"מ</t>
  </si>
  <si>
    <t>25001360</t>
  </si>
  <si>
    <t>25001361</t>
  </si>
  <si>
    <t>25001238</t>
  </si>
  <si>
    <t>BTC2500262</t>
  </si>
  <si>
    <t>25001336</t>
  </si>
  <si>
    <t>BTC2500263</t>
  </si>
  <si>
    <t>25001337</t>
  </si>
  <si>
    <t>17736</t>
  </si>
  <si>
    <t>Global Remit</t>
  </si>
  <si>
    <t>25001362</t>
  </si>
  <si>
    <t>Leptop Gilad CC7604</t>
  </si>
  <si>
    <t>25001363</t>
  </si>
  <si>
    <t>25001225</t>
  </si>
  <si>
    <t>BTC2500261</t>
  </si>
  <si>
    <t>2112786</t>
  </si>
  <si>
    <t>AnaPath Services GmbH</t>
  </si>
  <si>
    <t>25001335</t>
  </si>
  <si>
    <t>BTC2500268</t>
  </si>
  <si>
    <t>25001347</t>
  </si>
  <si>
    <t>CLA Avi Kaplan</t>
  </si>
  <si>
    <t>2241103</t>
  </si>
  <si>
    <t>25001352</t>
  </si>
  <si>
    <t>Gilad exp 523186,187,188</t>
  </si>
  <si>
    <t>25001365</t>
  </si>
  <si>
    <t>BTC2500264</t>
  </si>
  <si>
    <t>Payment to Obelis</t>
  </si>
  <si>
    <t>25001338</t>
  </si>
  <si>
    <t>25001364</t>
  </si>
  <si>
    <t xml:space="preserve"> חובה </t>
  </si>
  <si>
    <t xml:space="preserve"> זכות </t>
  </si>
  <si>
    <t xml:space="preserve">                        -  </t>
  </si>
  <si>
    <t>ס</t>
  </si>
  <si>
    <t>BTC2500284</t>
  </si>
  <si>
    <t>פדקס הוראת קבע</t>
  </si>
  <si>
    <t>BTC2500285</t>
  </si>
  <si>
    <t>מ</t>
  </si>
  <si>
    <t>RCC25000024</t>
  </si>
  <si>
    <t>14/08/2025</t>
  </si>
  <si>
    <t>המרה 60,000$</t>
  </si>
  <si>
    <t>15/08/2025</t>
  </si>
  <si>
    <t>BTC2500303</t>
  </si>
  <si>
    <t>BTC2500304</t>
  </si>
  <si>
    <t>השיזף ניהול נכסים וקהילה בע"מ</t>
  </si>
  <si>
    <t>BTC2500305</t>
  </si>
  <si>
    <t>BTC2500306</t>
  </si>
  <si>
    <t>BTC2500307</t>
  </si>
  <si>
    <t>IMI tami institute for research and development</t>
  </si>
  <si>
    <t>BTC2500308</t>
  </si>
  <si>
    <t>BTC2500309</t>
  </si>
  <si>
    <t>BTC2500310</t>
  </si>
  <si>
    <t>ב.ל. ניכויים</t>
  </si>
  <si>
    <t>17/08/2025</t>
  </si>
  <si>
    <t>BTC2500313</t>
  </si>
  <si>
    <t>19/08/2025</t>
  </si>
  <si>
    <t>BTC2500312</t>
  </si>
  <si>
    <t>20/08/2025</t>
  </si>
  <si>
    <t>22/08/2025</t>
  </si>
  <si>
    <t>25/08/2025</t>
  </si>
  <si>
    <t>גלובל רמיט</t>
  </si>
  <si>
    <t>Currency conversion</t>
  </si>
  <si>
    <t>26/08/2025</t>
  </si>
  <si>
    <t>28/08/2025</t>
  </si>
  <si>
    <t>BTC2500327</t>
  </si>
  <si>
    <t>31/08/2025</t>
  </si>
  <si>
    <t>עמלות 8/25</t>
  </si>
  <si>
    <t>ב</t>
  </si>
  <si>
    <t>משכורות 8/25</t>
  </si>
  <si>
    <t>BTC2500315</t>
  </si>
  <si>
    <t>ג'ט קופי בע"מ</t>
  </si>
  <si>
    <t>BTC2500316</t>
  </si>
  <si>
    <t>BTC2500317</t>
  </si>
  <si>
    <t>BTC2500318</t>
  </si>
  <si>
    <t>או.פי.אס.אי (SCS) בע"מ</t>
  </si>
  <si>
    <t>BTC2500319</t>
  </si>
  <si>
    <t>BTC2500320</t>
  </si>
  <si>
    <t>BTC2500321</t>
  </si>
  <si>
    <t>BTC2500322</t>
  </si>
  <si>
    <t>BTC2500323</t>
  </si>
  <si>
    <t>BTC2500324</t>
  </si>
  <si>
    <t>המרה 60000$</t>
  </si>
  <si>
    <t>BTC2500311</t>
  </si>
  <si>
    <t>Geneva Labs</t>
  </si>
  <si>
    <t>LIMPID paid by CorneatIL</t>
  </si>
  <si>
    <t>חו"ז GUANGZHOU CORNEAT MEDICAL</t>
  </si>
  <si>
    <t>העברת מטח להמרה</t>
  </si>
  <si>
    <t>transfer from VBS to Hap</t>
  </si>
  <si>
    <t>ע</t>
  </si>
  <si>
    <t>BTC2500325</t>
  </si>
  <si>
    <t>BTC2500326</t>
  </si>
  <si>
    <t>18/08/2025</t>
  </si>
  <si>
    <t>כ.אשראי 7604 לילך EUR</t>
  </si>
  <si>
    <t>BTC2500314</t>
  </si>
  <si>
    <t>העברת מטח</t>
  </si>
  <si>
    <t>JML ENTERPRISES CONSULTING</t>
  </si>
  <si>
    <t>27/08/2025</t>
  </si>
  <si>
    <t>BBank Transfer</t>
  </si>
  <si>
    <t>Account No.</t>
  </si>
  <si>
    <t>Description</t>
  </si>
  <si>
    <t>Opening Bal</t>
  </si>
  <si>
    <t>Transaction Date</t>
  </si>
  <si>
    <t>Due Date</t>
  </si>
  <si>
    <t>Refer. 1</t>
  </si>
  <si>
    <t>Refer. 2</t>
  </si>
  <si>
    <t>Details</t>
  </si>
  <si>
    <t>Contra Account</t>
  </si>
  <si>
    <t>Contra Acct Descrip</t>
  </si>
  <si>
    <t>Journal Entry No.</t>
  </si>
  <si>
    <t>Entry Code</t>
  </si>
  <si>
    <t>Debit</t>
  </si>
  <si>
    <t>Credit</t>
  </si>
  <si>
    <t>Petty Cash</t>
  </si>
  <si>
    <t>Poalim 36967</t>
  </si>
  <si>
    <t>Isracard 8434 ILS</t>
  </si>
  <si>
    <t>ADJ</t>
  </si>
  <si>
    <t>Suppliers</t>
  </si>
  <si>
    <t>Isracard 7604 ILS</t>
  </si>
  <si>
    <t>Isracard 6884 ILS</t>
  </si>
  <si>
    <t>RCC25000025</t>
  </si>
  <si>
    <t>עומר כהן רכישת אופציות</t>
  </si>
  <si>
    <t>Customers</t>
  </si>
  <si>
    <t>REC</t>
  </si>
  <si>
    <t>Omer-Options</t>
  </si>
  <si>
    <t>מס"ב פנסיה וקרנות 8/25</t>
  </si>
  <si>
    <t>Hishtalmut and Socials</t>
  </si>
  <si>
    <t>Salary</t>
  </si>
  <si>
    <t>15/09/2025</t>
  </si>
  <si>
    <t>Social Security</t>
  </si>
  <si>
    <t>BTC2500352</t>
  </si>
  <si>
    <t>Cibus</t>
  </si>
  <si>
    <t>TRN</t>
  </si>
  <si>
    <t>16/09/2025</t>
  </si>
  <si>
    <t>BTC2500340</t>
  </si>
  <si>
    <t>START IT</t>
  </si>
  <si>
    <t>BTC2500341</t>
  </si>
  <si>
    <t>Semel hagalil design and production ltd</t>
  </si>
  <si>
    <t>BTC2500342</t>
  </si>
  <si>
    <t>Li-On Bookkeeping Ltd</t>
  </si>
  <si>
    <t>BTC2500343</t>
  </si>
  <si>
    <t>Master Piece Modeling LTD</t>
  </si>
  <si>
    <t>BTC2500344</t>
  </si>
  <si>
    <t>מיקסרמדיה</t>
  </si>
  <si>
    <t>BTC2500345</t>
  </si>
  <si>
    <t>Clean Flow Ltd</t>
  </si>
  <si>
    <t>BTC2500346</t>
  </si>
  <si>
    <t>BTC2500347</t>
  </si>
  <si>
    <t>מרכז רפואי רבין</t>
  </si>
  <si>
    <t>BTC2500348</t>
  </si>
  <si>
    <t>מעבדות חי</t>
  </si>
  <si>
    <t>Poalim $</t>
  </si>
  <si>
    <t>M</t>
  </si>
  <si>
    <t>Conversion</t>
  </si>
  <si>
    <t>18/09/2025</t>
  </si>
  <si>
    <t>RCC25000027</t>
  </si>
  <si>
    <t>שי שרבו אופציות</t>
  </si>
  <si>
    <t>Shay-Options</t>
  </si>
  <si>
    <t>21/09/2025</t>
  </si>
  <si>
    <t>BTC2500351</t>
  </si>
  <si>
    <t>פרל כהן צדק לצר ברץ PEARL COHEN</t>
  </si>
  <si>
    <t>Income tax deductions</t>
  </si>
  <si>
    <t>25001681</t>
  </si>
  <si>
    <t>28/09/2025</t>
  </si>
  <si>
    <t>BTC2500364</t>
  </si>
  <si>
    <t>פדקס (אף. סי פליינג קרגו)</t>
  </si>
  <si>
    <t>29/09/2025</t>
  </si>
  <si>
    <t>VAT receivables</t>
  </si>
  <si>
    <t>VAT</t>
  </si>
  <si>
    <t>המרה 100K</t>
  </si>
  <si>
    <t>30/09/2025</t>
  </si>
  <si>
    <t>עמלות 9/25</t>
  </si>
  <si>
    <t>Financial expenses-Bank Fees</t>
  </si>
  <si>
    <t>Bank Exp</t>
  </si>
  <si>
    <t>Employees</t>
  </si>
  <si>
    <t>Isracard 6884 USD</t>
  </si>
  <si>
    <t>BTC2500339</t>
  </si>
  <si>
    <t>BTC2500350</t>
  </si>
  <si>
    <t>17/09/2025</t>
  </si>
  <si>
    <t>RCC25000026</t>
  </si>
  <si>
    <t>ADVANCED TECH ARMY</t>
  </si>
  <si>
    <t>ATI Navy</t>
  </si>
  <si>
    <t>Poalim Euro</t>
  </si>
  <si>
    <t>Isracard 6884 EUR</t>
  </si>
  <si>
    <t>BTC2500349</t>
  </si>
  <si>
    <t>HOPITAL FONDATION-Fondation Adolphe de Rothschil</t>
  </si>
  <si>
    <t>Poalim GBP</t>
  </si>
  <si>
    <t>SVB Bank</t>
  </si>
  <si>
    <t>CorNeat Vision INC</t>
  </si>
  <si>
    <t>25001683</t>
  </si>
  <si>
    <t>Poalim CHF</t>
  </si>
  <si>
    <t>Global Remit Ltd</t>
  </si>
  <si>
    <t>Poalim Deposit 100,000 ILS</t>
  </si>
  <si>
    <t>Curr</t>
  </si>
  <si>
    <t>BTC2500353</t>
  </si>
  <si>
    <t>Seven Zeros</t>
  </si>
  <si>
    <t>BTC2500354</t>
  </si>
  <si>
    <t>Shirtronics</t>
  </si>
  <si>
    <t>BTC2500359</t>
  </si>
  <si>
    <t>Aharon CNC</t>
  </si>
  <si>
    <t>BTC2500360</t>
  </si>
  <si>
    <t xml:space="preserve">Agam </t>
  </si>
  <si>
    <t>BTC2500361</t>
  </si>
  <si>
    <t>Sigma Aldrich Israel Ltd merck</t>
  </si>
  <si>
    <t>BTC2500362</t>
  </si>
  <si>
    <t>Guy Kleinmann</t>
  </si>
  <si>
    <t>BTC2500363</t>
  </si>
  <si>
    <t>A LITTLE DIFFERENT SOLUTIONS LTD</t>
  </si>
  <si>
    <t>ביטול ל 25001727</t>
  </si>
  <si>
    <t>13/10/2025</t>
  </si>
  <si>
    <t>15/10/2025</t>
  </si>
  <si>
    <t>BTC2500372</t>
  </si>
  <si>
    <t xml:space="preserve"> PEARL COHEN</t>
  </si>
  <si>
    <t>BTC2500373</t>
  </si>
  <si>
    <t>BTC2500374</t>
  </si>
  <si>
    <t>BTC2500375</t>
  </si>
  <si>
    <t>Keren Konig</t>
  </si>
  <si>
    <t>BTC2500376</t>
  </si>
  <si>
    <t>BTC2500379</t>
  </si>
  <si>
    <t>Simada</t>
  </si>
  <si>
    <t>BTC2500383</t>
  </si>
  <si>
    <t>16/10/2025</t>
  </si>
  <si>
    <t>BTC2500384</t>
  </si>
  <si>
    <t>כלל פנסיה הפרשים</t>
  </si>
  <si>
    <t>2123006</t>
  </si>
  <si>
    <t>Clal Penstion Fund</t>
  </si>
  <si>
    <t>25001835</t>
  </si>
  <si>
    <t>BTC2500385</t>
  </si>
  <si>
    <t>הראל ריבית פיגורים</t>
  </si>
  <si>
    <t>2123016</t>
  </si>
  <si>
    <t>Harel Insurance Company</t>
  </si>
  <si>
    <t>25001836</t>
  </si>
  <si>
    <t>BTC2500386</t>
  </si>
  <si>
    <t>הכשרה ריבית פיגורים</t>
  </si>
  <si>
    <t>2123011</t>
  </si>
  <si>
    <t>Hachsharat Hayeshuv</t>
  </si>
  <si>
    <t>25001837</t>
  </si>
  <si>
    <t>BTC2500387</t>
  </si>
  <si>
    <t>מגדל ריבית פיגורים</t>
  </si>
  <si>
    <t>2123014</t>
  </si>
  <si>
    <t>Migdal Insurance Company</t>
  </si>
  <si>
    <t>25001838</t>
  </si>
  <si>
    <t>RCC25000029</t>
  </si>
  <si>
    <t>מימוש אופציות לוטן הכהן</t>
  </si>
  <si>
    <t>1141100</t>
  </si>
  <si>
    <t>25001897</t>
  </si>
  <si>
    <t>Options</t>
  </si>
  <si>
    <t>25001895</t>
  </si>
  <si>
    <t>10153</t>
  </si>
  <si>
    <t>25001896</t>
  </si>
  <si>
    <t>מס הכנסה ניכוי</t>
  </si>
  <si>
    <t>25001894</t>
  </si>
  <si>
    <t>25001935</t>
  </si>
  <si>
    <t>C</t>
  </si>
  <si>
    <t>RCC25000030</t>
  </si>
  <si>
    <t>GlauCure</t>
  </si>
  <si>
    <t>1143100</t>
  </si>
  <si>
    <t>GlauCure Ltd</t>
  </si>
  <si>
    <t>25001899</t>
  </si>
  <si>
    <t>Glaucure</t>
  </si>
  <si>
    <t>תגמולי מילואים איתי</t>
  </si>
  <si>
    <t>HR-Army Reserve Return</t>
  </si>
  <si>
    <t>25001942</t>
  </si>
  <si>
    <t>BTC2500402</t>
  </si>
  <si>
    <t>25001933</t>
  </si>
  <si>
    <t>25001936</t>
  </si>
  <si>
    <t>BTC2500388</t>
  </si>
  <si>
    <t>וופה בע"מ WOPA</t>
  </si>
  <si>
    <t>25001910</t>
  </si>
  <si>
    <t>BTC2500389</t>
  </si>
  <si>
    <t>25001911</t>
  </si>
  <si>
    <t>BTC2500390</t>
  </si>
  <si>
    <t>2111209</t>
  </si>
  <si>
    <t>25001912</t>
  </si>
  <si>
    <t>BTC2500391</t>
  </si>
  <si>
    <t>25001913</t>
  </si>
  <si>
    <t>BTC2500392</t>
  </si>
  <si>
    <t>25001914</t>
  </si>
  <si>
    <t>BTC2500393</t>
  </si>
  <si>
    <t>2112634</t>
  </si>
  <si>
    <t>Y.E. MAZACH SYSTEMS LTD</t>
  </si>
  <si>
    <t>25001915</t>
  </si>
  <si>
    <t>BTC2500394</t>
  </si>
  <si>
    <t>25001916</t>
  </si>
  <si>
    <t>BTC2500395</t>
  </si>
  <si>
    <t>25001917</t>
  </si>
  <si>
    <t>BTC2500396</t>
  </si>
  <si>
    <t>25001918</t>
  </si>
  <si>
    <t>BTC2500397</t>
  </si>
  <si>
    <t>2112801</t>
  </si>
  <si>
    <t>Habira Group Capital Ltd</t>
  </si>
  <si>
    <t>25001919</t>
  </si>
  <si>
    <t>BTC2500398</t>
  </si>
  <si>
    <t>2112288</t>
  </si>
  <si>
    <t>Gefen Electronic Services Ltd</t>
  </si>
  <si>
    <t>25001920</t>
  </si>
  <si>
    <t>BTC2500399</t>
  </si>
  <si>
    <t>אגם לידרים (ישראל) סוכנות לביטוח (2003) בע"מ</t>
  </si>
  <si>
    <t>25001921</t>
  </si>
  <si>
    <t>162490259</t>
  </si>
  <si>
    <t>משכורות 10/25</t>
  </si>
  <si>
    <t>25001929</t>
  </si>
  <si>
    <t>עמלות 10/25</t>
  </si>
  <si>
    <t>25001932</t>
  </si>
  <si>
    <t>Bank fees</t>
  </si>
  <si>
    <t>Isracard 8434 USD</t>
  </si>
  <si>
    <t>BTC2500356</t>
  </si>
  <si>
    <t>Dakings Rapid Manufacturing Co,.Limited</t>
  </si>
  <si>
    <t>BTC2500357</t>
  </si>
  <si>
    <t>DocuSign</t>
  </si>
  <si>
    <t>BTC2500378</t>
  </si>
  <si>
    <t>RCC25000028</t>
  </si>
  <si>
    <t>25001889</t>
  </si>
  <si>
    <t>Grant</t>
  </si>
  <si>
    <t>Transfer from SVB to Poa</t>
  </si>
  <si>
    <t>25001937</t>
  </si>
  <si>
    <t>from SVB</t>
  </si>
  <si>
    <t>RCC25000031</t>
  </si>
  <si>
    <t>25001903</t>
  </si>
  <si>
    <t>BTC2500401</t>
  </si>
  <si>
    <t>25001923</t>
  </si>
  <si>
    <t>BTC2500355</t>
  </si>
  <si>
    <t>NELIPAK</t>
  </si>
  <si>
    <t>BTC2500358</t>
  </si>
  <si>
    <t>BTC2500377</t>
  </si>
  <si>
    <t>BSI EURO</t>
  </si>
  <si>
    <t>BTC2500400</t>
  </si>
  <si>
    <t>25001922</t>
  </si>
  <si>
    <t>25001927</t>
  </si>
  <si>
    <t>UHN inv QBL2610323</t>
  </si>
  <si>
    <t>University Health Network UHN</t>
  </si>
  <si>
    <t>Regulatory 4508</t>
  </si>
  <si>
    <t>REGULATORY</t>
  </si>
  <si>
    <t>TRANSFER TO INC</t>
  </si>
  <si>
    <t>25001938</t>
  </si>
  <si>
    <t>INC</t>
  </si>
  <si>
    <t>to Poalim</t>
  </si>
  <si>
    <t>ACCELLAB CREDIT</t>
  </si>
  <si>
    <t>Charles River Laboratories/AccelLab</t>
  </si>
  <si>
    <t>25001941</t>
  </si>
  <si>
    <t>Invision</t>
  </si>
  <si>
    <t>25001939</t>
  </si>
  <si>
    <t>25001940</t>
  </si>
  <si>
    <t>Balance</t>
  </si>
  <si>
    <t>Suppleirs</t>
  </si>
  <si>
    <t>כ.אשראי 8434 גלעד ILS</t>
  </si>
  <si>
    <t>BTC2500403</t>
  </si>
  <si>
    <t>Larit Measurements</t>
  </si>
  <si>
    <t>BTC2500405</t>
  </si>
  <si>
    <t>BTC2500406</t>
  </si>
  <si>
    <t>BTC2500407</t>
  </si>
  <si>
    <t>סקלר מעבדות בע"מ</t>
  </si>
  <si>
    <t>BTC2500408</t>
  </si>
  <si>
    <t>BTC2500409</t>
  </si>
  <si>
    <t>בלושטיין מהנדסים בע"מ</t>
  </si>
  <si>
    <t>BTC2500410</t>
  </si>
  <si>
    <t>BTC2500413</t>
  </si>
  <si>
    <t>BTC2500414</t>
  </si>
  <si>
    <t>CloudAlly</t>
  </si>
  <si>
    <t>BTC2500415</t>
  </si>
  <si>
    <t>RCC25000032</t>
  </si>
  <si>
    <t>מימוש אופציות בן ברנשטיי</t>
  </si>
  <si>
    <t>לקוחות שונים</t>
  </si>
  <si>
    <t>BTC2500416</t>
  </si>
  <si>
    <t>Transfer from PayPal</t>
  </si>
  <si>
    <t>BTC2500417</t>
  </si>
  <si>
    <t> </t>
  </si>
  <si>
    <t>עמלות 11/25</t>
  </si>
  <si>
    <t>כ.אשראי 8434 גלעד USD</t>
  </si>
  <si>
    <t>BTC2500404</t>
  </si>
  <si>
    <t>BTC2500411</t>
  </si>
  <si>
    <t>BTC2500412</t>
  </si>
  <si>
    <t>Limpid paid for China</t>
  </si>
  <si>
    <t>קופה קטנה</t>
  </si>
  <si>
    <t>החזר הוצ מגלאוקיור 2024</t>
  </si>
  <si>
    <t>חו"ז חברה קשורה- גליאוקיור</t>
  </si>
  <si>
    <t xml:space="preserve">                     -  </t>
  </si>
  <si>
    <t>exp refund</t>
  </si>
  <si>
    <t>החזר הוצ מגלאוקיור 2025</t>
  </si>
  <si>
    <t>משכורת 11/25</t>
  </si>
  <si>
    <t>suppliers</t>
  </si>
  <si>
    <t xml:space="preserve">conversion </t>
  </si>
  <si>
    <t>BTC2500442</t>
  </si>
  <si>
    <t>25002309</t>
  </si>
  <si>
    <t>25002314</t>
  </si>
  <si>
    <t>25002306</t>
  </si>
  <si>
    <t>BTC2500418</t>
  </si>
  <si>
    <t>25002253</t>
  </si>
  <si>
    <t>BTC2500419</t>
  </si>
  <si>
    <t>25002254</t>
  </si>
  <si>
    <t>BTC2500420</t>
  </si>
  <si>
    <t>25002255</t>
  </si>
  <si>
    <t>BTC2500421</t>
  </si>
  <si>
    <t>25002256</t>
  </si>
  <si>
    <t>BTC2500422</t>
  </si>
  <si>
    <t>25002257</t>
  </si>
  <si>
    <t>BTC2500423</t>
  </si>
  <si>
    <t>ביטול ל 25002256</t>
  </si>
  <si>
    <t>25002258</t>
  </si>
  <si>
    <t>BTC2500424</t>
  </si>
  <si>
    <t>25002259</t>
  </si>
  <si>
    <t>BTC2500425</t>
  </si>
  <si>
    <t>ביטול ל 25002259</t>
  </si>
  <si>
    <t>25002260</t>
  </si>
  <si>
    <t>BTC2500426</t>
  </si>
  <si>
    <t>25002261</t>
  </si>
  <si>
    <t>BTC2500427</t>
  </si>
  <si>
    <t>ביטול ל 25002257</t>
  </si>
  <si>
    <t>25002262</t>
  </si>
  <si>
    <t>BTC2500443</t>
  </si>
  <si>
    <t>25002310</t>
  </si>
  <si>
    <t>25002312</t>
  </si>
  <si>
    <t>25002308</t>
  </si>
  <si>
    <t>25002307</t>
  </si>
  <si>
    <t>BTC2500444</t>
  </si>
  <si>
    <t>25002311</t>
  </si>
  <si>
    <t>25002313</t>
  </si>
  <si>
    <t>העברה מחשבון SVB</t>
  </si>
  <si>
    <t>25002315</t>
  </si>
  <si>
    <t>25002316</t>
  </si>
  <si>
    <t>RCC25000033</t>
  </si>
  <si>
    <t>FIDES TRUSTEES</t>
  </si>
  <si>
    <t>2241148</t>
  </si>
  <si>
    <t>CLA Fisher Family</t>
  </si>
  <si>
    <t>25002317</t>
  </si>
  <si>
    <t>25002318</t>
  </si>
  <si>
    <t>Payment STEmart</t>
  </si>
  <si>
    <t>2112809</t>
  </si>
  <si>
    <t>STEMart</t>
  </si>
  <si>
    <t>25002322</t>
  </si>
  <si>
    <t>RCC25000034</t>
  </si>
  <si>
    <t>25002323</t>
  </si>
  <si>
    <t>bank charges</t>
  </si>
  <si>
    <t>Transfer to Hapoalim</t>
  </si>
  <si>
    <t>Transfer from SVB</t>
  </si>
  <si>
    <t>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</si>
</sst>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.00;\(#,##0.00\);&quot;-&quot;"/>
  </numFmts>
  <fonts count="2">
    <font>
      <sz val="11"/>
      <name val="Aptos Narrow"/>
    </font>
    <font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1" applyFont="1"/>
    <xf numFmtId="0" fontId="0" fillId="0" borderId="0" xfId="0" applyAlignment="1">
      <alignment readingOrder="2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readingOrder="2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1" xfId="0" applyBorder="1"/>
    <xf numFmtId="2" fontId="0" fillId="0" borderId="1" xfId="0" applyNumberFormat="1" applyBorder="1"/>
    <xf numFmtId="14" fontId="0" fillId="0" borderId="1" xfId="0" applyNumberFormat="1" applyBorder="1"/>
    <xf numFmtId="164" fontId="0" fillId="0" borderId="1" xfId="1" applyFont="1" applyBorder="1"/>
    <xf numFmtId="164" fontId="0" fillId="2" borderId="0" xfId="0" applyNumberFormat="1" applyFill="1"/>
    <xf numFmtId="164" fontId="0" fillId="2" borderId="1" xfId="0" applyNumberFormat="1" applyFill="1" applyBorder="1"/>
    <xf numFmtId="0" fontId="0" fillId="0" borderId="1" xfId="0" applyBorder="1" applyAlignment="1">
      <alignment horizontal="left"/>
    </xf>
    <xf numFmtId="14" fontId="0" fillId="0" borderId="0" xfId="0" applyNumberFormat="1" applyAlignment="1">
      <alignment horizontal="left"/>
    </xf>
    <xf numFmtId="164" fontId="0" fillId="2" borderId="0" xfId="1" applyFont="1" applyFill="1"/>
    <xf numFmtId="165" fontId="0" fillId="0" borderId="0" xfId="1" applyNumberFormat="1" applyFont="1" applyBorder="1"/>
    <xf numFmtId="0" fontId="1" fillId="0" borderId="0" xfId="0" applyFont="1"/>
    <xf numFmtId="0" fontId="0" fillId="0" borderId="1" xfId="0" applyBorder="1" applyAlignment="1">
      <alignment readingOrder="2"/>
    </xf>
    <xf numFmtId="0" fontId="1" fillId="0" borderId="1" xfId="0" applyFont="1" applyBorder="1"/>
    <xf numFmtId="43" fontId="0" fillId="0" borderId="0" xfId="0" applyNumberFormat="1"/>
    <xf numFmtId="43" fontId="0" fillId="3" borderId="1" xfId="0" applyNumberFormat="1" applyFill="1" applyBorder="1"/>
    <xf numFmtId="4" fontId="0" fillId="3" borderId="2" xfId="0" applyNumberFormat="1" applyFill="1" applyBorder="1"/>
    <xf numFmtId="0" fontId="0" fillId="0" borderId="0" xfId="0" applyBorder="1"/>
    <xf numFmtId="0" fontId="0" fillId="0" borderId="0" xfId="0" applyBorder="1" applyAlignment="1">
      <alignment readingOrder="2"/>
    </xf>
    <xf numFmtId="2" fontId="0" fillId="0" borderId="0" xfId="0" applyNumberFormat="1" applyBorder="1"/>
    <xf numFmtId="14" fontId="0" fillId="0" borderId="0" xfId="0" applyNumberFormat="1" applyBorder="1"/>
    <xf numFmtId="43" fontId="0" fillId="3" borderId="0" xfId="0" applyNumberFormat="1" applyFill="1" applyBorder="1"/>
    <xf numFmtId="43" fontId="0" fillId="0" borderId="1" xfId="0" applyNumberFormat="1" applyBorder="1"/>
    <xf numFmtId="0" fontId="1" fillId="0" borderId="0" xfId="0" applyFont="1" applyBorder="1"/>
    <xf numFmtId="164" fontId="0" fillId="4" borderId="1" xfId="1" applyFont="1" applyFill="1" applyBorder="1"/>
    <xf numFmtId="164" fontId="0" fillId="3" borderId="0" xfId="1" applyFont="1" applyFill="1" applyBorder="1"/>
    <xf numFmtId="164" fontId="0" fillId="3" borderId="0" xfId="1" applyFont="1" applyFill="1"/>
    <xf numFmtId="166" fontId="0" fillId="0" borderId="0" xfId="0" applyNumberFormat="1"/>
    <xf numFmtId="166" fontId="0" fillId="0" borderId="0" xfId="0" applyNumberFormat="1" applyBorder="1"/>
    <xf numFmtId="166" fontId="0" fillId="0" borderId="1" xfId="0" applyNumberFormat="1" applyBorder="1"/>
    <xf numFmtId="166" fontId="0" fillId="4" borderId="0" xfId="0" applyNumberFormat="1" applyFill="1"/>
    <xf numFmtId="166" fontId="0" fillId="4" borderId="0" xfId="0" applyNumberFormat="1" applyFill="1" applyBorder="1"/>
    <xf numFmtId="166" fontId="0" fillId="5" borderId="0" xfId="0" applyNumberFormat="1" applyFill="1"/>
    <xf numFmtId="166" fontId="0" fillId="3" borderId="0" xfId="0" applyNumberFormat="1" applyFill="1"/>
    <xf numFmtId="166" fontId="0" fillId="5" borderId="1" xfId="0" applyNumberFormat="1" applyFill="1" applyBorder="1"/>
    <xf numFmtId="164" fontId="0" fillId="4" borderId="0" xfId="1" applyFont="1" applyFill="1"/>
    <xf numFmtId="4" fontId="0" fillId="4" borderId="0" xfId="0" applyNumberFormat="1" applyFill="1"/>
    <xf numFmtId="0" fontId="0" fillId="4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7"/>
  <sheetViews>
    <sheetView workbookViewId="0">
      <selection activeCell="F433" sqref="F433"/>
    </sheetView>
  </sheetViews>
  <sheetFormatPr defaultRowHeight="15"/>
  <cols>
    <col min="1" max="1" width="7.85546875" bestFit="1" customWidth="1"/>
    <col min="2" max="2" width="16.42578125" bestFit="1" customWidth="1"/>
    <col min="3" max="4" width="10.7109375" bestFit="1" customWidth="1"/>
    <col min="5" max="5" width="10.140625" bestFit="1" customWidth="1"/>
    <col min="6" max="6" width="17" bestFit="1" customWidth="1"/>
    <col min="7" max="7" width="9.140625" bestFit="1" customWidth="1"/>
    <col min="8" max="8" width="27.140625" bestFit="1" customWidth="1"/>
    <col min="9" max="9" width="9.140625" bestFit="1" customWidth="1"/>
    <col min="10" max="10" width="43.42578125" bestFit="1" customWidth="1"/>
    <col min="11" max="11" width="13.5703125" bestFit="1" customWidth="1"/>
    <col min="13" max="14" width="11.140625" style="3" bestFit="1" customWidth="1"/>
    <col min="16" max="16" width="4.42578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P1" t="s">
        <v>14</v>
      </c>
    </row>
    <row r="2" spans="1:16">
      <c r="A2" t="s">
        <v>15</v>
      </c>
      <c r="B2" t="s">
        <v>16</v>
      </c>
      <c r="C2" s="2">
        <v>68507.289999999994</v>
      </c>
      <c r="D2" s="1">
        <v>45659</v>
      </c>
      <c r="E2" s="1">
        <v>45659</v>
      </c>
      <c r="F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s="3">
        <v>0</v>
      </c>
      <c r="N2" s="3">
        <v>3.7</v>
      </c>
      <c r="P2" t="s">
        <v>23</v>
      </c>
    </row>
    <row r="3" spans="1:16">
      <c r="A3" t="s">
        <v>15</v>
      </c>
      <c r="B3" t="s">
        <v>16</v>
      </c>
      <c r="C3" s="2">
        <v>68507.289999999994</v>
      </c>
      <c r="D3" s="1">
        <v>45659</v>
      </c>
      <c r="E3" s="1">
        <v>45659</v>
      </c>
      <c r="F3" t="s">
        <v>24</v>
      </c>
      <c r="H3" t="s">
        <v>18</v>
      </c>
      <c r="I3" t="s">
        <v>25</v>
      </c>
      <c r="J3" t="s">
        <v>26</v>
      </c>
      <c r="K3" t="s">
        <v>27</v>
      </c>
      <c r="L3" t="s">
        <v>22</v>
      </c>
      <c r="M3" s="3">
        <v>0</v>
      </c>
      <c r="N3" s="3">
        <v>1395.7</v>
      </c>
      <c r="P3" t="s">
        <v>23</v>
      </c>
    </row>
    <row r="4" spans="1:16">
      <c r="A4" t="s">
        <v>15</v>
      </c>
      <c r="B4" t="s">
        <v>16</v>
      </c>
      <c r="C4" s="2">
        <v>68507.289999999994</v>
      </c>
      <c r="D4" s="1">
        <v>45659</v>
      </c>
      <c r="E4" s="1">
        <v>45659</v>
      </c>
      <c r="F4" t="s">
        <v>28</v>
      </c>
      <c r="H4" t="s">
        <v>18</v>
      </c>
      <c r="I4" t="s">
        <v>29</v>
      </c>
      <c r="J4" t="s">
        <v>30</v>
      </c>
      <c r="K4" t="s">
        <v>31</v>
      </c>
      <c r="L4" t="s">
        <v>22</v>
      </c>
      <c r="M4" s="3">
        <v>0</v>
      </c>
      <c r="N4" s="3">
        <v>7117.34</v>
      </c>
      <c r="P4" t="s">
        <v>23</v>
      </c>
    </row>
    <row r="5" spans="1:16">
      <c r="A5" t="s">
        <v>15</v>
      </c>
      <c r="B5" t="s">
        <v>16</v>
      </c>
      <c r="C5" s="2">
        <v>68507.289999999994</v>
      </c>
      <c r="D5" s="1">
        <v>45659</v>
      </c>
      <c r="E5" s="1">
        <v>45659</v>
      </c>
      <c r="F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22</v>
      </c>
      <c r="M5" s="3">
        <v>0</v>
      </c>
      <c r="N5" s="3">
        <v>73681.679999999993</v>
      </c>
      <c r="P5" t="s">
        <v>23</v>
      </c>
    </row>
    <row r="6" spans="1:16">
      <c r="A6" t="s">
        <v>15</v>
      </c>
      <c r="B6" t="s">
        <v>16</v>
      </c>
      <c r="C6" s="2">
        <v>68507.289999999994</v>
      </c>
      <c r="D6" s="1">
        <v>45659</v>
      </c>
      <c r="E6" s="1">
        <v>45659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s="3">
        <v>154623.29</v>
      </c>
      <c r="N6" s="3">
        <v>0</v>
      </c>
      <c r="P6" t="s">
        <v>23</v>
      </c>
    </row>
    <row r="7" spans="1:16">
      <c r="A7" t="s">
        <v>15</v>
      </c>
      <c r="B7" t="s">
        <v>16</v>
      </c>
      <c r="C7" s="2">
        <v>68507.289999999994</v>
      </c>
      <c r="D7" s="1">
        <v>45662</v>
      </c>
      <c r="E7" s="1">
        <v>45662</v>
      </c>
      <c r="F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s="3">
        <v>0</v>
      </c>
      <c r="N7" s="3">
        <v>63496.05</v>
      </c>
      <c r="P7" t="s">
        <v>23</v>
      </c>
    </row>
    <row r="8" spans="1:16">
      <c r="A8" t="s">
        <v>15</v>
      </c>
      <c r="B8" t="s">
        <v>16</v>
      </c>
      <c r="C8" s="2">
        <v>68507.289999999994</v>
      </c>
      <c r="D8" s="1">
        <v>45662</v>
      </c>
      <c r="E8" s="1">
        <v>45662</v>
      </c>
      <c r="F8" t="s">
        <v>48</v>
      </c>
      <c r="H8" t="s">
        <v>49</v>
      </c>
      <c r="I8" t="s">
        <v>50</v>
      </c>
      <c r="J8" t="s">
        <v>49</v>
      </c>
      <c r="K8" t="s">
        <v>51</v>
      </c>
      <c r="L8" t="s">
        <v>22</v>
      </c>
      <c r="M8" s="3">
        <v>3.74</v>
      </c>
      <c r="N8" s="3">
        <v>0</v>
      </c>
      <c r="P8" t="s">
        <v>23</v>
      </c>
    </row>
    <row r="9" spans="1:16">
      <c r="A9" t="s">
        <v>15</v>
      </c>
      <c r="B9" t="s">
        <v>16</v>
      </c>
      <c r="C9" s="2">
        <v>68507.289999999994</v>
      </c>
      <c r="D9" s="1">
        <v>45662</v>
      </c>
      <c r="E9" s="1">
        <v>45662</v>
      </c>
      <c r="F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22</v>
      </c>
      <c r="M9" s="3">
        <v>0</v>
      </c>
      <c r="N9" s="3">
        <v>2.16</v>
      </c>
      <c r="P9" t="s">
        <v>23</v>
      </c>
    </row>
    <row r="10" spans="1:16">
      <c r="A10" t="s">
        <v>15</v>
      </c>
      <c r="B10" t="s">
        <v>16</v>
      </c>
      <c r="C10" s="2">
        <v>68507.289999999994</v>
      </c>
      <c r="D10" s="1">
        <v>45663</v>
      </c>
      <c r="E10" s="1">
        <v>45663</v>
      </c>
      <c r="F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22</v>
      </c>
      <c r="M10" s="3">
        <v>11420.52</v>
      </c>
      <c r="N10" s="3">
        <v>0</v>
      </c>
      <c r="P10" t="s">
        <v>23</v>
      </c>
    </row>
    <row r="11" spans="1:16">
      <c r="A11" t="s">
        <v>15</v>
      </c>
      <c r="B11" t="s">
        <v>16</v>
      </c>
      <c r="C11" s="2">
        <v>68507.289999999994</v>
      </c>
      <c r="D11" s="1">
        <v>45664</v>
      </c>
      <c r="E11" s="1">
        <v>45664</v>
      </c>
      <c r="F11" t="s">
        <v>62</v>
      </c>
      <c r="H11" t="s">
        <v>63</v>
      </c>
      <c r="I11" t="s">
        <v>64</v>
      </c>
      <c r="J11" t="s">
        <v>65</v>
      </c>
      <c r="K11" t="s">
        <v>66</v>
      </c>
      <c r="L11" t="s">
        <v>22</v>
      </c>
      <c r="M11" s="3">
        <v>0</v>
      </c>
      <c r="N11" s="3">
        <v>23442.7</v>
      </c>
      <c r="P11" t="s">
        <v>23</v>
      </c>
    </row>
    <row r="12" spans="1:16">
      <c r="A12" t="s">
        <v>15</v>
      </c>
      <c r="B12" t="s">
        <v>16</v>
      </c>
      <c r="C12" s="2">
        <v>68507.289999999994</v>
      </c>
      <c r="D12" s="1">
        <v>45666</v>
      </c>
      <c r="E12" s="1">
        <v>45666</v>
      </c>
      <c r="F12" t="s">
        <v>67</v>
      </c>
      <c r="H12" t="s">
        <v>68</v>
      </c>
      <c r="I12" t="s">
        <v>69</v>
      </c>
      <c r="J12" t="s">
        <v>70</v>
      </c>
      <c r="K12" t="s">
        <v>71</v>
      </c>
      <c r="L12" t="s">
        <v>22</v>
      </c>
      <c r="M12" s="3">
        <v>8837.34</v>
      </c>
      <c r="N12" s="3">
        <v>0</v>
      </c>
      <c r="P12" t="s">
        <v>23</v>
      </c>
    </row>
    <row r="13" spans="1:16">
      <c r="A13" t="s">
        <v>15</v>
      </c>
      <c r="B13" t="s">
        <v>16</v>
      </c>
      <c r="C13" s="2">
        <v>68507.289999999994</v>
      </c>
      <c r="D13" s="1">
        <v>45669</v>
      </c>
      <c r="E13" s="1">
        <v>45669</v>
      </c>
      <c r="F13" t="s">
        <v>72</v>
      </c>
      <c r="H13" t="s">
        <v>73</v>
      </c>
      <c r="I13" t="s">
        <v>74</v>
      </c>
      <c r="J13" t="s">
        <v>75</v>
      </c>
      <c r="K13" t="s">
        <v>76</v>
      </c>
      <c r="L13" t="s">
        <v>22</v>
      </c>
      <c r="M13" s="3">
        <v>0</v>
      </c>
      <c r="N13" s="3">
        <v>40.619999999999997</v>
      </c>
      <c r="P13" t="s">
        <v>23</v>
      </c>
    </row>
    <row r="14" spans="1:16">
      <c r="A14" t="s">
        <v>15</v>
      </c>
      <c r="B14" t="s">
        <v>16</v>
      </c>
      <c r="C14" s="2">
        <v>68507.289999999994</v>
      </c>
      <c r="D14" s="1">
        <v>45669</v>
      </c>
      <c r="E14" s="1">
        <v>45669</v>
      </c>
      <c r="F14" t="s">
        <v>48</v>
      </c>
      <c r="H14" t="s">
        <v>49</v>
      </c>
      <c r="I14" t="s">
        <v>50</v>
      </c>
      <c r="J14" t="s">
        <v>49</v>
      </c>
      <c r="K14" t="s">
        <v>77</v>
      </c>
      <c r="L14" t="s">
        <v>22</v>
      </c>
      <c r="M14" s="3">
        <v>3.74</v>
      </c>
      <c r="N14" s="3">
        <v>0</v>
      </c>
      <c r="P14" t="s">
        <v>23</v>
      </c>
    </row>
    <row r="15" spans="1:16">
      <c r="A15" t="s">
        <v>15</v>
      </c>
      <c r="B15" t="s">
        <v>16</v>
      </c>
      <c r="C15" s="2">
        <v>68507.289999999994</v>
      </c>
      <c r="D15" s="1">
        <v>45672</v>
      </c>
      <c r="E15" s="1">
        <v>45672</v>
      </c>
      <c r="F15" t="s">
        <v>78</v>
      </c>
      <c r="H15" t="s">
        <v>43</v>
      </c>
      <c r="I15" t="s">
        <v>79</v>
      </c>
      <c r="J15" t="s">
        <v>80</v>
      </c>
      <c r="K15" t="s">
        <v>81</v>
      </c>
      <c r="L15" t="s">
        <v>47</v>
      </c>
      <c r="M15" s="3">
        <v>0</v>
      </c>
      <c r="N15" s="3">
        <v>96.93</v>
      </c>
      <c r="P15" t="s">
        <v>23</v>
      </c>
    </row>
    <row r="16" spans="1:16">
      <c r="A16" t="s">
        <v>15</v>
      </c>
      <c r="B16" t="s">
        <v>16</v>
      </c>
      <c r="C16" s="2">
        <v>68507.289999999994</v>
      </c>
      <c r="D16" s="1">
        <v>45672</v>
      </c>
      <c r="E16" s="1">
        <v>45672</v>
      </c>
      <c r="F16" t="s">
        <v>82</v>
      </c>
      <c r="H16" t="s">
        <v>43</v>
      </c>
      <c r="I16" t="s">
        <v>44</v>
      </c>
      <c r="J16" t="s">
        <v>45</v>
      </c>
      <c r="K16" t="s">
        <v>83</v>
      </c>
      <c r="L16" t="s">
        <v>47</v>
      </c>
      <c r="M16" s="3">
        <v>0</v>
      </c>
      <c r="N16" s="3">
        <v>151.88999999999999</v>
      </c>
      <c r="P16" t="s">
        <v>23</v>
      </c>
    </row>
    <row r="17" spans="1:16">
      <c r="A17" t="s">
        <v>15</v>
      </c>
      <c r="B17" t="s">
        <v>16</v>
      </c>
      <c r="C17" s="2">
        <v>68507.289999999994</v>
      </c>
      <c r="D17" s="1">
        <v>45672</v>
      </c>
      <c r="E17" s="1">
        <v>45672</v>
      </c>
      <c r="F17" t="s">
        <v>84</v>
      </c>
      <c r="H17" t="s">
        <v>43</v>
      </c>
      <c r="I17" t="s">
        <v>85</v>
      </c>
      <c r="J17" t="s">
        <v>86</v>
      </c>
      <c r="K17" t="s">
        <v>87</v>
      </c>
      <c r="L17" t="s">
        <v>47</v>
      </c>
      <c r="M17" s="3">
        <v>0</v>
      </c>
      <c r="N17" s="3">
        <v>371.72</v>
      </c>
      <c r="P17" t="s">
        <v>23</v>
      </c>
    </row>
    <row r="18" spans="1:16">
      <c r="A18" t="s">
        <v>15</v>
      </c>
      <c r="B18" t="s">
        <v>16</v>
      </c>
      <c r="C18" s="2">
        <v>68507.289999999994</v>
      </c>
      <c r="D18" s="1">
        <v>45672</v>
      </c>
      <c r="E18" s="1">
        <v>45672</v>
      </c>
      <c r="F18" t="s">
        <v>88</v>
      </c>
      <c r="H18" t="s">
        <v>43</v>
      </c>
      <c r="I18" t="s">
        <v>89</v>
      </c>
      <c r="J18" t="s">
        <v>90</v>
      </c>
      <c r="K18" t="s">
        <v>91</v>
      </c>
      <c r="L18" t="s">
        <v>47</v>
      </c>
      <c r="M18" s="3">
        <v>0</v>
      </c>
      <c r="N18" s="3">
        <v>466.72</v>
      </c>
      <c r="P18" t="s">
        <v>23</v>
      </c>
    </row>
    <row r="19" spans="1:16">
      <c r="A19" t="s">
        <v>15</v>
      </c>
      <c r="B19" t="s">
        <v>16</v>
      </c>
      <c r="C19" s="2">
        <v>68507.289999999994</v>
      </c>
      <c r="D19" s="1">
        <v>45672</v>
      </c>
      <c r="E19" s="1">
        <v>45672</v>
      </c>
      <c r="F19" t="s">
        <v>92</v>
      </c>
      <c r="H19" t="s">
        <v>43</v>
      </c>
      <c r="I19" t="s">
        <v>93</v>
      </c>
      <c r="J19" t="s">
        <v>94</v>
      </c>
      <c r="K19" t="s">
        <v>95</v>
      </c>
      <c r="L19" t="s">
        <v>47</v>
      </c>
      <c r="M19" s="3">
        <v>0</v>
      </c>
      <c r="N19" s="3">
        <v>904.31</v>
      </c>
      <c r="P19" t="s">
        <v>23</v>
      </c>
    </row>
    <row r="20" spans="1:16">
      <c r="A20" t="s">
        <v>15</v>
      </c>
      <c r="B20" t="s">
        <v>16</v>
      </c>
      <c r="C20" s="2">
        <v>68507.289999999994</v>
      </c>
      <c r="D20" s="1">
        <v>45672</v>
      </c>
      <c r="E20" s="1">
        <v>45672</v>
      </c>
      <c r="F20" t="s">
        <v>96</v>
      </c>
      <c r="H20" t="s">
        <v>43</v>
      </c>
      <c r="I20" t="s">
        <v>97</v>
      </c>
      <c r="J20" t="s">
        <v>98</v>
      </c>
      <c r="K20" t="s">
        <v>99</v>
      </c>
      <c r="L20" t="s">
        <v>47</v>
      </c>
      <c r="M20" s="3">
        <v>0</v>
      </c>
      <c r="N20" s="3">
        <v>1906.38</v>
      </c>
      <c r="P20" t="s">
        <v>23</v>
      </c>
    </row>
    <row r="21" spans="1:16">
      <c r="A21" t="s">
        <v>15</v>
      </c>
      <c r="B21" t="s">
        <v>16</v>
      </c>
      <c r="C21" s="2">
        <v>68507.289999999994</v>
      </c>
      <c r="D21" s="1">
        <v>45672</v>
      </c>
      <c r="E21" s="1">
        <v>45672</v>
      </c>
      <c r="F21" t="s">
        <v>100</v>
      </c>
      <c r="H21" t="s">
        <v>101</v>
      </c>
      <c r="I21" t="s">
        <v>102</v>
      </c>
      <c r="J21" t="s">
        <v>103</v>
      </c>
      <c r="K21" t="s">
        <v>104</v>
      </c>
      <c r="L21" t="s">
        <v>47</v>
      </c>
      <c r="M21" s="3">
        <v>0</v>
      </c>
      <c r="N21" s="3">
        <v>3835.13</v>
      </c>
      <c r="P21" t="s">
        <v>23</v>
      </c>
    </row>
    <row r="22" spans="1:16">
      <c r="A22" t="s">
        <v>15</v>
      </c>
      <c r="B22" t="s">
        <v>16</v>
      </c>
      <c r="C22" s="2">
        <v>68507.289999999994</v>
      </c>
      <c r="D22" s="1">
        <v>45672</v>
      </c>
      <c r="E22" s="1">
        <v>45672</v>
      </c>
      <c r="F22" t="s">
        <v>105</v>
      </c>
      <c r="H22" t="s">
        <v>43</v>
      </c>
      <c r="I22" t="s">
        <v>106</v>
      </c>
      <c r="J22" t="s">
        <v>107</v>
      </c>
      <c r="K22" t="s">
        <v>108</v>
      </c>
      <c r="L22" t="s">
        <v>47</v>
      </c>
      <c r="M22" s="3">
        <v>0</v>
      </c>
      <c r="N22" s="3">
        <v>5694.56</v>
      </c>
      <c r="P22" t="s">
        <v>23</v>
      </c>
    </row>
    <row r="23" spans="1:16">
      <c r="A23" t="s">
        <v>15</v>
      </c>
      <c r="B23" t="s">
        <v>16</v>
      </c>
      <c r="C23" s="2">
        <v>68507.289999999994</v>
      </c>
      <c r="D23" s="1">
        <v>45672</v>
      </c>
      <c r="E23" s="1">
        <v>45672</v>
      </c>
      <c r="F23" t="s">
        <v>109</v>
      </c>
      <c r="H23" t="s">
        <v>43</v>
      </c>
      <c r="I23" t="s">
        <v>110</v>
      </c>
      <c r="J23" t="s">
        <v>111</v>
      </c>
      <c r="K23" t="s">
        <v>112</v>
      </c>
      <c r="L23" t="s">
        <v>47</v>
      </c>
      <c r="M23" s="3">
        <v>0</v>
      </c>
      <c r="N23" s="3">
        <v>12905.11</v>
      </c>
      <c r="P23" t="s">
        <v>23</v>
      </c>
    </row>
    <row r="24" spans="1:16">
      <c r="A24" t="s">
        <v>15</v>
      </c>
      <c r="B24" t="s">
        <v>16</v>
      </c>
      <c r="C24" s="2">
        <v>68507.289999999994</v>
      </c>
      <c r="D24" s="1">
        <v>45672</v>
      </c>
      <c r="E24" s="1">
        <v>45672</v>
      </c>
      <c r="F24" t="s">
        <v>113</v>
      </c>
      <c r="H24" t="s">
        <v>114</v>
      </c>
      <c r="I24" t="s">
        <v>79</v>
      </c>
      <c r="J24" t="s">
        <v>80</v>
      </c>
      <c r="K24" t="s">
        <v>115</v>
      </c>
      <c r="L24" t="s">
        <v>47</v>
      </c>
      <c r="M24" s="3">
        <v>0</v>
      </c>
      <c r="N24" s="3">
        <v>-96.93</v>
      </c>
      <c r="P24" t="s">
        <v>23</v>
      </c>
    </row>
    <row r="25" spans="1:16">
      <c r="A25" t="s">
        <v>15</v>
      </c>
      <c r="B25" t="s">
        <v>16</v>
      </c>
      <c r="C25" s="2">
        <v>68507.289999999994</v>
      </c>
      <c r="D25" s="1">
        <v>45672</v>
      </c>
      <c r="E25" s="1">
        <v>45672</v>
      </c>
      <c r="F25" t="s">
        <v>116</v>
      </c>
      <c r="H25" t="s">
        <v>43</v>
      </c>
      <c r="I25" t="s">
        <v>79</v>
      </c>
      <c r="J25" t="s">
        <v>80</v>
      </c>
      <c r="K25" t="s">
        <v>117</v>
      </c>
      <c r="L25" t="s">
        <v>47</v>
      </c>
      <c r="M25" s="3">
        <v>0</v>
      </c>
      <c r="N25" s="3">
        <v>146.63999999999999</v>
      </c>
      <c r="P25" t="s">
        <v>23</v>
      </c>
    </row>
    <row r="26" spans="1:16">
      <c r="A26" t="s">
        <v>15</v>
      </c>
      <c r="B26" t="s">
        <v>16</v>
      </c>
      <c r="C26" s="2">
        <v>68507.289999999994</v>
      </c>
      <c r="D26" s="1">
        <v>45676</v>
      </c>
      <c r="E26" s="1">
        <v>45676</v>
      </c>
      <c r="F26" t="s">
        <v>48</v>
      </c>
      <c r="H26" t="s">
        <v>49</v>
      </c>
      <c r="I26" t="s">
        <v>50</v>
      </c>
      <c r="J26" t="s">
        <v>49</v>
      </c>
      <c r="K26" t="s">
        <v>118</v>
      </c>
      <c r="L26" t="s">
        <v>22</v>
      </c>
      <c r="M26" s="3">
        <v>3.8</v>
      </c>
      <c r="N26" s="3">
        <v>0</v>
      </c>
      <c r="P26" t="s">
        <v>23</v>
      </c>
    </row>
    <row r="27" spans="1:16">
      <c r="A27" t="s">
        <v>15</v>
      </c>
      <c r="B27" t="s">
        <v>16</v>
      </c>
      <c r="C27" s="2">
        <v>68507.289999999994</v>
      </c>
      <c r="D27" s="1">
        <v>45677</v>
      </c>
      <c r="E27" s="1">
        <v>45677</v>
      </c>
      <c r="F27" t="s">
        <v>119</v>
      </c>
      <c r="H27" t="s">
        <v>120</v>
      </c>
      <c r="I27" t="s">
        <v>121</v>
      </c>
      <c r="J27" t="s">
        <v>122</v>
      </c>
      <c r="K27" t="s">
        <v>123</v>
      </c>
      <c r="L27" t="s">
        <v>22</v>
      </c>
      <c r="M27" s="3">
        <v>0</v>
      </c>
      <c r="N27" s="3">
        <v>22988.27</v>
      </c>
      <c r="P27" t="s">
        <v>23</v>
      </c>
    </row>
    <row r="28" spans="1:16">
      <c r="A28" t="s">
        <v>15</v>
      </c>
      <c r="B28" t="s">
        <v>16</v>
      </c>
      <c r="C28" s="2">
        <v>68507.289999999994</v>
      </c>
      <c r="D28" s="1">
        <v>45679</v>
      </c>
      <c r="E28" s="1">
        <v>45679</v>
      </c>
      <c r="F28" t="s">
        <v>124</v>
      </c>
      <c r="H28" t="s">
        <v>101</v>
      </c>
      <c r="I28" t="s">
        <v>74</v>
      </c>
      <c r="J28" t="s">
        <v>75</v>
      </c>
      <c r="K28" t="s">
        <v>125</v>
      </c>
      <c r="L28" t="s">
        <v>47</v>
      </c>
      <c r="M28" s="3">
        <v>0</v>
      </c>
      <c r="N28" s="3">
        <v>91.05</v>
      </c>
      <c r="P28" t="s">
        <v>23</v>
      </c>
    </row>
    <row r="29" spans="1:16">
      <c r="A29" t="s">
        <v>15</v>
      </c>
      <c r="B29" t="s">
        <v>16</v>
      </c>
      <c r="C29" s="2">
        <v>68507.289999999994</v>
      </c>
      <c r="D29" s="1">
        <v>45679</v>
      </c>
      <c r="E29" s="1">
        <v>45679</v>
      </c>
      <c r="F29" t="s">
        <v>126</v>
      </c>
      <c r="H29" t="s">
        <v>127</v>
      </c>
      <c r="I29" t="s">
        <v>128</v>
      </c>
      <c r="J29" t="s">
        <v>129</v>
      </c>
      <c r="K29" t="s">
        <v>130</v>
      </c>
      <c r="L29" t="s">
        <v>22</v>
      </c>
      <c r="M29" s="3">
        <v>0</v>
      </c>
      <c r="N29" s="3">
        <v>109.01</v>
      </c>
      <c r="P29" t="s">
        <v>23</v>
      </c>
    </row>
    <row r="30" spans="1:16">
      <c r="A30" t="s">
        <v>15</v>
      </c>
      <c r="B30" t="s">
        <v>16</v>
      </c>
      <c r="C30" s="2">
        <v>68507.289999999994</v>
      </c>
      <c r="D30" s="1">
        <v>45679</v>
      </c>
      <c r="E30" s="1">
        <v>45679</v>
      </c>
      <c r="F30" t="s">
        <v>126</v>
      </c>
      <c r="H30" t="s">
        <v>127</v>
      </c>
      <c r="I30" t="s">
        <v>128</v>
      </c>
      <c r="J30" t="s">
        <v>129</v>
      </c>
      <c r="K30" t="s">
        <v>131</v>
      </c>
      <c r="L30" t="s">
        <v>22</v>
      </c>
      <c r="M30" s="3">
        <v>0</v>
      </c>
      <c r="N30" s="3">
        <v>14746.68</v>
      </c>
      <c r="P30" t="s">
        <v>23</v>
      </c>
    </row>
    <row r="31" spans="1:16">
      <c r="A31" t="s">
        <v>15</v>
      </c>
      <c r="B31" t="s">
        <v>16</v>
      </c>
      <c r="C31" s="2">
        <v>68507.289999999994</v>
      </c>
      <c r="D31" s="1">
        <v>45683</v>
      </c>
      <c r="E31" s="1">
        <v>45683</v>
      </c>
      <c r="F31" t="s">
        <v>48</v>
      </c>
      <c r="H31" t="s">
        <v>49</v>
      </c>
      <c r="I31" t="s">
        <v>50</v>
      </c>
      <c r="J31" t="s">
        <v>49</v>
      </c>
      <c r="K31" t="s">
        <v>132</v>
      </c>
      <c r="L31" t="s">
        <v>22</v>
      </c>
      <c r="M31" s="3">
        <v>3.83</v>
      </c>
      <c r="N31" s="3">
        <v>0</v>
      </c>
      <c r="P31" t="s">
        <v>23</v>
      </c>
    </row>
    <row r="32" spans="1:16">
      <c r="A32" t="s">
        <v>15</v>
      </c>
      <c r="B32" t="s">
        <v>16</v>
      </c>
      <c r="C32" s="2">
        <v>68507.289999999994</v>
      </c>
      <c r="D32" s="1">
        <v>45685</v>
      </c>
      <c r="E32" s="1">
        <v>45685</v>
      </c>
      <c r="F32" t="s">
        <v>133</v>
      </c>
      <c r="H32" t="s">
        <v>43</v>
      </c>
      <c r="I32" t="s">
        <v>134</v>
      </c>
      <c r="J32" t="s">
        <v>135</v>
      </c>
      <c r="K32" t="s">
        <v>136</v>
      </c>
      <c r="L32" t="s">
        <v>47</v>
      </c>
      <c r="M32" s="3">
        <v>0</v>
      </c>
      <c r="N32" s="3">
        <v>1826.42</v>
      </c>
      <c r="P32" t="s">
        <v>23</v>
      </c>
    </row>
    <row r="33" spans="1:16">
      <c r="A33" t="s">
        <v>15</v>
      </c>
      <c r="B33" t="s">
        <v>16</v>
      </c>
      <c r="C33" s="2">
        <v>68507.289999999994</v>
      </c>
      <c r="D33" s="1">
        <v>45686</v>
      </c>
      <c r="E33" s="1">
        <v>45686</v>
      </c>
      <c r="F33" t="s">
        <v>137</v>
      </c>
      <c r="H33" t="s">
        <v>101</v>
      </c>
      <c r="I33" t="s">
        <v>74</v>
      </c>
      <c r="J33" t="s">
        <v>75</v>
      </c>
      <c r="K33" t="s">
        <v>138</v>
      </c>
      <c r="L33" t="s">
        <v>47</v>
      </c>
      <c r="M33" s="3">
        <v>0</v>
      </c>
      <c r="N33" s="3">
        <v>814.33</v>
      </c>
      <c r="P33" t="s">
        <v>23</v>
      </c>
    </row>
    <row r="34" spans="1:16">
      <c r="A34" t="s">
        <v>15</v>
      </c>
      <c r="B34" t="s">
        <v>16</v>
      </c>
      <c r="C34" s="2">
        <v>68507.289999999994</v>
      </c>
      <c r="D34" s="1">
        <v>45686</v>
      </c>
      <c r="E34" s="1">
        <v>45686</v>
      </c>
      <c r="F34" t="s">
        <v>139</v>
      </c>
      <c r="H34" t="s">
        <v>140</v>
      </c>
      <c r="I34" t="s">
        <v>141</v>
      </c>
      <c r="J34" t="s">
        <v>142</v>
      </c>
      <c r="K34" t="s">
        <v>143</v>
      </c>
      <c r="L34" t="s">
        <v>144</v>
      </c>
      <c r="M34" s="3">
        <v>41666.67</v>
      </c>
      <c r="N34" s="3">
        <v>0</v>
      </c>
      <c r="P34" t="s">
        <v>23</v>
      </c>
    </row>
    <row r="35" spans="1:16">
      <c r="A35" t="s">
        <v>15</v>
      </c>
      <c r="B35" t="s">
        <v>16</v>
      </c>
      <c r="C35" s="2">
        <v>68507.289999999994</v>
      </c>
      <c r="D35" s="1">
        <v>45686</v>
      </c>
      <c r="E35" s="1">
        <v>45686</v>
      </c>
      <c r="F35" t="s">
        <v>139</v>
      </c>
      <c r="H35" t="s">
        <v>140</v>
      </c>
      <c r="I35" t="s">
        <v>141</v>
      </c>
      <c r="J35" t="s">
        <v>142</v>
      </c>
      <c r="K35" t="s">
        <v>143</v>
      </c>
      <c r="L35" t="s">
        <v>144</v>
      </c>
      <c r="M35" s="3">
        <v>18684.72</v>
      </c>
      <c r="N35" s="3">
        <v>0</v>
      </c>
      <c r="P35" t="s">
        <v>23</v>
      </c>
    </row>
    <row r="36" spans="1:16">
      <c r="A36" t="s">
        <v>15</v>
      </c>
      <c r="B36" t="s">
        <v>16</v>
      </c>
      <c r="C36" s="2">
        <v>68507.289999999994</v>
      </c>
      <c r="D36" s="1">
        <v>45686</v>
      </c>
      <c r="E36" s="1">
        <v>45686</v>
      </c>
      <c r="F36" t="s">
        <v>139</v>
      </c>
      <c r="H36" t="s">
        <v>145</v>
      </c>
      <c r="I36" t="s">
        <v>141</v>
      </c>
      <c r="J36" t="s">
        <v>142</v>
      </c>
      <c r="K36" t="s">
        <v>143</v>
      </c>
      <c r="L36" t="s">
        <v>144</v>
      </c>
      <c r="M36" s="3">
        <v>60351.39</v>
      </c>
      <c r="N36" s="3">
        <v>0</v>
      </c>
      <c r="P36" t="s">
        <v>23</v>
      </c>
    </row>
    <row r="37" spans="1:16">
      <c r="A37" t="s">
        <v>15</v>
      </c>
      <c r="B37" t="s">
        <v>16</v>
      </c>
      <c r="C37" s="2">
        <v>68507.289999999994</v>
      </c>
      <c r="D37" s="1">
        <v>45686</v>
      </c>
      <c r="E37" s="1">
        <v>45686</v>
      </c>
      <c r="F37" t="s">
        <v>139</v>
      </c>
      <c r="H37" t="s">
        <v>146</v>
      </c>
      <c r="I37" t="s">
        <v>141</v>
      </c>
      <c r="J37" t="s">
        <v>142</v>
      </c>
      <c r="K37" t="s">
        <v>143</v>
      </c>
      <c r="L37" t="s">
        <v>144</v>
      </c>
      <c r="M37" s="3">
        <v>60351.39</v>
      </c>
      <c r="N37" s="3">
        <v>0</v>
      </c>
      <c r="P37" t="s">
        <v>23</v>
      </c>
    </row>
    <row r="38" spans="1:16">
      <c r="A38" t="s">
        <v>15</v>
      </c>
      <c r="B38" t="s">
        <v>16</v>
      </c>
      <c r="C38" s="2">
        <v>68507.289999999994</v>
      </c>
      <c r="D38" s="1">
        <v>45687</v>
      </c>
      <c r="E38" s="1">
        <v>45687</v>
      </c>
      <c r="F38" t="s">
        <v>147</v>
      </c>
      <c r="H38" t="s">
        <v>101</v>
      </c>
      <c r="I38" t="s">
        <v>74</v>
      </c>
      <c r="J38" t="s">
        <v>75</v>
      </c>
      <c r="K38" t="s">
        <v>148</v>
      </c>
      <c r="L38" t="s">
        <v>47</v>
      </c>
      <c r="M38" s="3">
        <v>0</v>
      </c>
      <c r="N38" s="3">
        <v>27.14</v>
      </c>
      <c r="P38" t="s">
        <v>23</v>
      </c>
    </row>
    <row r="39" spans="1:16">
      <c r="A39" t="s">
        <v>15</v>
      </c>
      <c r="B39" t="s">
        <v>16</v>
      </c>
      <c r="C39" s="2">
        <v>68507.289999999994</v>
      </c>
      <c r="D39" s="1">
        <v>45687</v>
      </c>
      <c r="E39" s="1">
        <v>45687</v>
      </c>
      <c r="F39" t="s">
        <v>149</v>
      </c>
      <c r="H39" t="s">
        <v>43</v>
      </c>
      <c r="I39" t="s">
        <v>150</v>
      </c>
      <c r="J39" t="s">
        <v>151</v>
      </c>
      <c r="K39" t="s">
        <v>152</v>
      </c>
      <c r="L39" t="s">
        <v>47</v>
      </c>
      <c r="M39" s="3">
        <v>0</v>
      </c>
      <c r="N39" s="3">
        <v>174.58</v>
      </c>
      <c r="P39" t="s">
        <v>23</v>
      </c>
    </row>
    <row r="40" spans="1:16">
      <c r="A40" t="s">
        <v>15</v>
      </c>
      <c r="B40" t="s">
        <v>16</v>
      </c>
      <c r="C40" s="2">
        <v>68507.289999999994</v>
      </c>
      <c r="D40" s="1">
        <v>45687</v>
      </c>
      <c r="E40" s="1">
        <v>45687</v>
      </c>
      <c r="F40" t="s">
        <v>153</v>
      </c>
      <c r="H40" t="s">
        <v>43</v>
      </c>
      <c r="I40" t="s">
        <v>154</v>
      </c>
      <c r="J40" t="s">
        <v>155</v>
      </c>
      <c r="K40" t="s">
        <v>156</v>
      </c>
      <c r="L40" t="s">
        <v>47</v>
      </c>
      <c r="M40" s="3">
        <v>0</v>
      </c>
      <c r="N40" s="3">
        <v>176.34</v>
      </c>
      <c r="P40" t="s">
        <v>23</v>
      </c>
    </row>
    <row r="41" spans="1:16">
      <c r="A41" t="s">
        <v>15</v>
      </c>
      <c r="B41" t="s">
        <v>16</v>
      </c>
      <c r="C41" s="2">
        <v>68507.289999999994</v>
      </c>
      <c r="D41" s="1">
        <v>45687</v>
      </c>
      <c r="E41" s="1">
        <v>45687</v>
      </c>
      <c r="F41" t="s">
        <v>157</v>
      </c>
      <c r="H41" t="s">
        <v>43</v>
      </c>
      <c r="I41" t="s">
        <v>158</v>
      </c>
      <c r="J41" t="s">
        <v>159</v>
      </c>
      <c r="K41" t="s">
        <v>160</v>
      </c>
      <c r="L41" t="s">
        <v>47</v>
      </c>
      <c r="M41" s="3">
        <v>0</v>
      </c>
      <c r="N41" s="3">
        <v>312.5</v>
      </c>
      <c r="P41" t="s">
        <v>23</v>
      </c>
    </row>
    <row r="42" spans="1:16">
      <c r="A42" t="s">
        <v>15</v>
      </c>
      <c r="B42" t="s">
        <v>16</v>
      </c>
      <c r="C42" s="2">
        <v>68507.289999999994</v>
      </c>
      <c r="D42" s="1">
        <v>45687</v>
      </c>
      <c r="E42" s="1">
        <v>45687</v>
      </c>
      <c r="F42" t="s">
        <v>161</v>
      </c>
      <c r="H42" t="s">
        <v>43</v>
      </c>
      <c r="I42" t="s">
        <v>162</v>
      </c>
      <c r="J42" t="s">
        <v>163</v>
      </c>
      <c r="K42" t="s">
        <v>164</v>
      </c>
      <c r="L42" t="s">
        <v>47</v>
      </c>
      <c r="M42" s="3">
        <v>0</v>
      </c>
      <c r="N42" s="3">
        <v>331.75</v>
      </c>
      <c r="P42" t="s">
        <v>23</v>
      </c>
    </row>
    <row r="43" spans="1:16">
      <c r="A43" t="s">
        <v>15</v>
      </c>
      <c r="B43" t="s">
        <v>16</v>
      </c>
      <c r="C43" s="2">
        <v>68507.289999999994</v>
      </c>
      <c r="D43" s="1">
        <v>45687</v>
      </c>
      <c r="E43" s="1">
        <v>45687</v>
      </c>
      <c r="F43" t="s">
        <v>165</v>
      </c>
      <c r="H43" t="s">
        <v>43</v>
      </c>
      <c r="I43" t="s">
        <v>44</v>
      </c>
      <c r="J43" t="s">
        <v>45</v>
      </c>
      <c r="K43" t="s">
        <v>166</v>
      </c>
      <c r="L43" t="s">
        <v>47</v>
      </c>
      <c r="M43" s="3">
        <v>0</v>
      </c>
      <c r="N43" s="3">
        <v>724.61</v>
      </c>
      <c r="P43" t="s">
        <v>23</v>
      </c>
    </row>
    <row r="44" spans="1:16">
      <c r="A44" t="s">
        <v>15</v>
      </c>
      <c r="B44" t="s">
        <v>16</v>
      </c>
      <c r="C44" s="2">
        <v>68507.289999999994</v>
      </c>
      <c r="D44" s="1">
        <v>45687</v>
      </c>
      <c r="E44" s="1">
        <v>45687</v>
      </c>
      <c r="F44" t="s">
        <v>167</v>
      </c>
      <c r="H44" t="s">
        <v>43</v>
      </c>
      <c r="I44" t="s">
        <v>168</v>
      </c>
      <c r="J44" t="s">
        <v>169</v>
      </c>
      <c r="K44" t="s">
        <v>170</v>
      </c>
      <c r="L44" t="s">
        <v>47</v>
      </c>
      <c r="M44" s="3">
        <v>0</v>
      </c>
      <c r="N44" s="3">
        <v>823.1</v>
      </c>
      <c r="P44" t="s">
        <v>23</v>
      </c>
    </row>
    <row r="45" spans="1:16">
      <c r="A45" t="s">
        <v>15</v>
      </c>
      <c r="B45" t="s">
        <v>16</v>
      </c>
      <c r="C45" s="2">
        <v>68507.289999999994</v>
      </c>
      <c r="D45" s="1">
        <v>45687</v>
      </c>
      <c r="E45" s="1">
        <v>45687</v>
      </c>
      <c r="F45" t="s">
        <v>171</v>
      </c>
      <c r="H45" t="s">
        <v>43</v>
      </c>
      <c r="I45" t="s">
        <v>172</v>
      </c>
      <c r="J45" t="s">
        <v>173</v>
      </c>
      <c r="K45" t="s">
        <v>174</v>
      </c>
      <c r="L45" t="s">
        <v>47</v>
      </c>
      <c r="M45" s="3">
        <v>0</v>
      </c>
      <c r="N45" s="3">
        <v>1119.42</v>
      </c>
      <c r="P45" t="s">
        <v>23</v>
      </c>
    </row>
    <row r="46" spans="1:16">
      <c r="A46" t="s">
        <v>15</v>
      </c>
      <c r="B46" t="s">
        <v>16</v>
      </c>
      <c r="C46" s="2">
        <v>68507.289999999994</v>
      </c>
      <c r="D46" s="1">
        <v>45687</v>
      </c>
      <c r="E46" s="1">
        <v>45687</v>
      </c>
      <c r="F46" t="s">
        <v>175</v>
      </c>
      <c r="H46" t="s">
        <v>43</v>
      </c>
      <c r="I46" t="s">
        <v>85</v>
      </c>
      <c r="J46" t="s">
        <v>86</v>
      </c>
      <c r="K46" t="s">
        <v>176</v>
      </c>
      <c r="L46" t="s">
        <v>47</v>
      </c>
      <c r="M46" s="3">
        <v>0</v>
      </c>
      <c r="N46" s="3">
        <v>1573.38</v>
      </c>
      <c r="P46" t="s">
        <v>23</v>
      </c>
    </row>
    <row r="47" spans="1:16">
      <c r="A47" t="s">
        <v>15</v>
      </c>
      <c r="B47" t="s">
        <v>16</v>
      </c>
      <c r="C47" s="2">
        <v>68507.289999999994</v>
      </c>
      <c r="D47" s="1">
        <v>45687</v>
      </c>
      <c r="E47" s="1">
        <v>45687</v>
      </c>
      <c r="F47" t="s">
        <v>177</v>
      </c>
      <c r="H47" t="s">
        <v>43</v>
      </c>
      <c r="I47" t="s">
        <v>44</v>
      </c>
      <c r="J47" t="s">
        <v>45</v>
      </c>
      <c r="K47" t="s">
        <v>178</v>
      </c>
      <c r="L47" t="s">
        <v>47</v>
      </c>
      <c r="M47" s="3">
        <v>0</v>
      </c>
      <c r="N47" s="3">
        <v>1759.49</v>
      </c>
      <c r="P47" t="s">
        <v>23</v>
      </c>
    </row>
    <row r="48" spans="1:16">
      <c r="A48" t="s">
        <v>15</v>
      </c>
      <c r="B48" t="s">
        <v>16</v>
      </c>
      <c r="C48" s="2">
        <v>68507.289999999994</v>
      </c>
      <c r="D48" s="1">
        <v>45687</v>
      </c>
      <c r="E48" s="1">
        <v>45687</v>
      </c>
      <c r="F48" t="s">
        <v>179</v>
      </c>
      <c r="H48" t="s">
        <v>43</v>
      </c>
      <c r="I48" t="s">
        <v>180</v>
      </c>
      <c r="J48" t="s">
        <v>181</v>
      </c>
      <c r="K48" t="s">
        <v>182</v>
      </c>
      <c r="L48" t="s">
        <v>47</v>
      </c>
      <c r="M48" s="3">
        <v>0</v>
      </c>
      <c r="N48" s="3">
        <v>4529.58</v>
      </c>
      <c r="P48" t="s">
        <v>23</v>
      </c>
    </row>
    <row r="49" spans="1:16">
      <c r="A49" t="s">
        <v>15</v>
      </c>
      <c r="B49" t="s">
        <v>16</v>
      </c>
      <c r="C49" s="2">
        <v>68507.289999999994</v>
      </c>
      <c r="D49" s="1">
        <v>45687</v>
      </c>
      <c r="E49" s="1">
        <v>45687</v>
      </c>
      <c r="F49" t="s">
        <v>183</v>
      </c>
      <c r="H49" t="s">
        <v>43</v>
      </c>
      <c r="I49" t="s">
        <v>184</v>
      </c>
      <c r="J49" t="s">
        <v>185</v>
      </c>
      <c r="K49" t="s">
        <v>186</v>
      </c>
      <c r="L49" t="s">
        <v>47</v>
      </c>
      <c r="M49" s="3">
        <v>0</v>
      </c>
      <c r="N49" s="3">
        <v>6170.33</v>
      </c>
      <c r="P49" t="s">
        <v>23</v>
      </c>
    </row>
    <row r="50" spans="1:16">
      <c r="A50" t="s">
        <v>15</v>
      </c>
      <c r="B50" t="s">
        <v>16</v>
      </c>
      <c r="C50" s="2">
        <v>68507.289999999994</v>
      </c>
      <c r="D50" s="1">
        <v>45687</v>
      </c>
      <c r="E50" s="1">
        <v>45687</v>
      </c>
      <c r="F50" t="s">
        <v>187</v>
      </c>
      <c r="H50" t="s">
        <v>43</v>
      </c>
      <c r="I50" t="s">
        <v>44</v>
      </c>
      <c r="J50" t="s">
        <v>45</v>
      </c>
      <c r="K50" t="s">
        <v>188</v>
      </c>
      <c r="L50" t="s">
        <v>47</v>
      </c>
      <c r="M50" s="3">
        <v>0</v>
      </c>
      <c r="N50" s="3">
        <v>7358.26</v>
      </c>
      <c r="P50" t="s">
        <v>23</v>
      </c>
    </row>
    <row r="51" spans="1:16">
      <c r="A51" t="s">
        <v>15</v>
      </c>
      <c r="B51" t="s">
        <v>16</v>
      </c>
      <c r="C51" s="2">
        <v>68507.289999999994</v>
      </c>
      <c r="D51" s="1">
        <v>45687</v>
      </c>
      <c r="E51" s="1">
        <v>45687</v>
      </c>
      <c r="F51" t="s">
        <v>189</v>
      </c>
      <c r="H51" t="s">
        <v>190</v>
      </c>
      <c r="I51" t="s">
        <v>34</v>
      </c>
      <c r="J51" t="s">
        <v>35</v>
      </c>
      <c r="K51" t="s">
        <v>191</v>
      </c>
      <c r="L51" t="s">
        <v>22</v>
      </c>
      <c r="M51" s="3">
        <v>0</v>
      </c>
      <c r="N51" s="3">
        <v>50138.76</v>
      </c>
      <c r="P51" t="s">
        <v>23</v>
      </c>
    </row>
    <row r="52" spans="1:16">
      <c r="A52" t="s">
        <v>15</v>
      </c>
      <c r="B52" t="s">
        <v>16</v>
      </c>
      <c r="C52" s="2">
        <v>68507.289999999994</v>
      </c>
      <c r="D52" s="1">
        <v>45687</v>
      </c>
      <c r="E52" s="1">
        <v>45687</v>
      </c>
      <c r="H52" t="s">
        <v>192</v>
      </c>
      <c r="I52" t="s">
        <v>193</v>
      </c>
      <c r="J52" t="s">
        <v>194</v>
      </c>
      <c r="K52" t="s">
        <v>195</v>
      </c>
      <c r="L52" t="s">
        <v>41</v>
      </c>
      <c r="M52" s="3">
        <v>150000</v>
      </c>
      <c r="N52" s="3">
        <v>0</v>
      </c>
      <c r="P52" t="s">
        <v>23</v>
      </c>
    </row>
    <row r="53" spans="1:16">
      <c r="A53" t="s">
        <v>15</v>
      </c>
      <c r="B53" t="s">
        <v>16</v>
      </c>
      <c r="C53" s="2">
        <v>68507.289999999994</v>
      </c>
      <c r="D53" s="1">
        <v>45688</v>
      </c>
      <c r="E53" s="1">
        <v>45688</v>
      </c>
      <c r="H53" t="s">
        <v>196</v>
      </c>
      <c r="I53" t="s">
        <v>197</v>
      </c>
      <c r="J53" t="s">
        <v>198</v>
      </c>
      <c r="K53" t="s">
        <v>199</v>
      </c>
      <c r="L53" t="s">
        <v>22</v>
      </c>
      <c r="M53" s="3">
        <v>0</v>
      </c>
      <c r="N53" s="3">
        <v>162.94</v>
      </c>
      <c r="P53" t="s">
        <v>23</v>
      </c>
    </row>
    <row r="54" spans="1:16">
      <c r="A54" t="s">
        <v>15</v>
      </c>
      <c r="B54" t="s">
        <v>16</v>
      </c>
      <c r="C54" s="2">
        <v>68507.289999999994</v>
      </c>
      <c r="D54" s="1">
        <v>45688</v>
      </c>
      <c r="E54" s="1">
        <v>45412</v>
      </c>
      <c r="H54" t="s">
        <v>200</v>
      </c>
      <c r="I54" t="s">
        <v>197</v>
      </c>
      <c r="J54" t="s">
        <v>198</v>
      </c>
      <c r="K54" t="s">
        <v>201</v>
      </c>
      <c r="L54" t="s">
        <v>22</v>
      </c>
      <c r="M54" s="3">
        <v>0</v>
      </c>
      <c r="N54" s="3">
        <v>166.82</v>
      </c>
      <c r="P54" t="s">
        <v>23</v>
      </c>
    </row>
    <row r="55" spans="1:16">
      <c r="A55" t="s">
        <v>15</v>
      </c>
      <c r="B55" t="s">
        <v>16</v>
      </c>
      <c r="C55" s="2">
        <v>68507.289999999994</v>
      </c>
      <c r="D55" s="1">
        <v>45688</v>
      </c>
      <c r="E55" s="1">
        <v>45412</v>
      </c>
      <c r="H55" t="s">
        <v>202</v>
      </c>
      <c r="I55" t="s">
        <v>197</v>
      </c>
      <c r="J55" t="s">
        <v>198</v>
      </c>
      <c r="K55" t="s">
        <v>203</v>
      </c>
      <c r="L55" t="s">
        <v>22</v>
      </c>
      <c r="M55" s="3">
        <v>0</v>
      </c>
      <c r="N55" s="3">
        <v>-166.82</v>
      </c>
      <c r="P55" t="s">
        <v>23</v>
      </c>
    </row>
    <row r="56" spans="1:16">
      <c r="A56" t="s">
        <v>15</v>
      </c>
      <c r="B56" t="s">
        <v>16</v>
      </c>
      <c r="C56" s="2">
        <v>68507.289999999994</v>
      </c>
      <c r="D56" s="1">
        <v>45690</v>
      </c>
      <c r="E56" s="1">
        <v>45690</v>
      </c>
      <c r="F56" t="s">
        <v>48</v>
      </c>
      <c r="H56" t="s">
        <v>49</v>
      </c>
      <c r="I56" t="s">
        <v>50</v>
      </c>
      <c r="J56" t="s">
        <v>49</v>
      </c>
      <c r="K56" t="s">
        <v>204</v>
      </c>
      <c r="L56" t="s">
        <v>22</v>
      </c>
      <c r="M56" s="3">
        <v>3.83</v>
      </c>
      <c r="N56" s="3">
        <v>0</v>
      </c>
      <c r="P56" t="s">
        <v>23</v>
      </c>
    </row>
    <row r="57" spans="1:16">
      <c r="A57" t="s">
        <v>15</v>
      </c>
      <c r="B57" t="s">
        <v>16</v>
      </c>
      <c r="C57" s="2">
        <v>68507.289999999994</v>
      </c>
      <c r="D57" s="1">
        <v>45690</v>
      </c>
      <c r="E57" s="1">
        <v>45690</v>
      </c>
      <c r="F57" t="s">
        <v>17</v>
      </c>
      <c r="H57" t="s">
        <v>18</v>
      </c>
      <c r="I57" t="s">
        <v>19</v>
      </c>
      <c r="J57" t="s">
        <v>20</v>
      </c>
      <c r="K57" t="s">
        <v>205</v>
      </c>
      <c r="L57" t="s">
        <v>22</v>
      </c>
      <c r="M57" s="3">
        <v>0</v>
      </c>
      <c r="N57" s="3">
        <v>470.95</v>
      </c>
      <c r="P57" t="s">
        <v>23</v>
      </c>
    </row>
    <row r="58" spans="1:16">
      <c r="A58" t="s">
        <v>15</v>
      </c>
      <c r="B58" t="s">
        <v>16</v>
      </c>
      <c r="C58" s="2">
        <v>68507.289999999994</v>
      </c>
      <c r="D58" s="1">
        <v>45690</v>
      </c>
      <c r="E58" s="1">
        <v>45690</v>
      </c>
      <c r="F58" t="s">
        <v>24</v>
      </c>
      <c r="H58" t="s">
        <v>18</v>
      </c>
      <c r="I58" t="s">
        <v>25</v>
      </c>
      <c r="J58" t="s">
        <v>26</v>
      </c>
      <c r="K58" t="s">
        <v>206</v>
      </c>
      <c r="L58" t="s">
        <v>22</v>
      </c>
      <c r="M58" s="3">
        <v>0</v>
      </c>
      <c r="N58" s="3">
        <v>2024.19</v>
      </c>
      <c r="P58" t="s">
        <v>23</v>
      </c>
    </row>
    <row r="59" spans="1:16">
      <c r="A59" t="s">
        <v>15</v>
      </c>
      <c r="B59" t="s">
        <v>16</v>
      </c>
      <c r="C59" s="2">
        <v>68507.289999999994</v>
      </c>
      <c r="D59" s="1">
        <v>45690</v>
      </c>
      <c r="E59" s="1">
        <v>45690</v>
      </c>
      <c r="F59" t="s">
        <v>28</v>
      </c>
      <c r="H59" t="s">
        <v>18</v>
      </c>
      <c r="I59" t="s">
        <v>29</v>
      </c>
      <c r="J59" t="s">
        <v>30</v>
      </c>
      <c r="K59" t="s">
        <v>207</v>
      </c>
      <c r="L59" t="s">
        <v>22</v>
      </c>
      <c r="M59" s="3">
        <v>0</v>
      </c>
      <c r="N59" s="3">
        <v>2858.19</v>
      </c>
      <c r="P59" t="s">
        <v>23</v>
      </c>
    </row>
    <row r="60" spans="1:16">
      <c r="A60" t="s">
        <v>15</v>
      </c>
      <c r="B60" t="s">
        <v>16</v>
      </c>
      <c r="C60" s="2">
        <v>68507.289999999994</v>
      </c>
      <c r="D60" s="1">
        <v>45692</v>
      </c>
      <c r="E60" s="1">
        <v>45692</v>
      </c>
      <c r="F60" t="s">
        <v>57</v>
      </c>
      <c r="H60" t="s">
        <v>58</v>
      </c>
      <c r="I60" t="s">
        <v>59</v>
      </c>
      <c r="J60" t="s">
        <v>60</v>
      </c>
      <c r="K60" t="s">
        <v>208</v>
      </c>
      <c r="L60" t="s">
        <v>22</v>
      </c>
      <c r="M60" s="3">
        <v>27323.37</v>
      </c>
      <c r="N60" s="3">
        <v>0</v>
      </c>
      <c r="P60" t="s">
        <v>23</v>
      </c>
    </row>
    <row r="61" spans="1:16">
      <c r="A61" t="s">
        <v>15</v>
      </c>
      <c r="B61" t="s">
        <v>16</v>
      </c>
      <c r="C61" s="2">
        <v>68507.289999999994</v>
      </c>
      <c r="D61" s="1">
        <v>45694</v>
      </c>
      <c r="E61" s="1">
        <v>45694</v>
      </c>
      <c r="F61" t="s">
        <v>209</v>
      </c>
      <c r="H61" t="s">
        <v>101</v>
      </c>
      <c r="I61" t="s">
        <v>74</v>
      </c>
      <c r="J61" t="s">
        <v>75</v>
      </c>
      <c r="K61" t="s">
        <v>210</v>
      </c>
      <c r="L61" t="s">
        <v>47</v>
      </c>
      <c r="M61" s="3">
        <v>0</v>
      </c>
      <c r="N61" s="3">
        <v>55.58</v>
      </c>
      <c r="P61" t="s">
        <v>23</v>
      </c>
    </row>
    <row r="62" spans="1:16">
      <c r="A62" t="s">
        <v>15</v>
      </c>
      <c r="B62" t="s">
        <v>16</v>
      </c>
      <c r="C62" s="2">
        <v>68507.289999999994</v>
      </c>
      <c r="D62" s="1">
        <v>45695</v>
      </c>
      <c r="E62" s="1">
        <v>45695</v>
      </c>
      <c r="F62" t="s">
        <v>67</v>
      </c>
      <c r="H62" t="s">
        <v>68</v>
      </c>
      <c r="I62" t="s">
        <v>69</v>
      </c>
      <c r="J62" t="s">
        <v>70</v>
      </c>
      <c r="K62" t="s">
        <v>211</v>
      </c>
      <c r="L62" t="s">
        <v>22</v>
      </c>
      <c r="M62" s="3">
        <v>7311.55</v>
      </c>
      <c r="N62" s="3">
        <v>0</v>
      </c>
      <c r="P62" t="s">
        <v>23</v>
      </c>
    </row>
    <row r="63" spans="1:16">
      <c r="A63" t="s">
        <v>15</v>
      </c>
      <c r="B63" t="s">
        <v>16</v>
      </c>
      <c r="C63" s="2">
        <v>68507.289999999994</v>
      </c>
      <c r="D63" s="1">
        <v>45697</v>
      </c>
      <c r="E63" s="1">
        <v>45697</v>
      </c>
      <c r="F63" t="s">
        <v>212</v>
      </c>
      <c r="H63" t="s">
        <v>49</v>
      </c>
      <c r="I63" t="s">
        <v>50</v>
      </c>
      <c r="J63" t="s">
        <v>49</v>
      </c>
      <c r="K63" t="s">
        <v>213</v>
      </c>
      <c r="L63" t="s">
        <v>22</v>
      </c>
      <c r="M63" s="3">
        <v>28.11</v>
      </c>
      <c r="N63" s="3">
        <v>0</v>
      </c>
      <c r="P63" t="s">
        <v>23</v>
      </c>
    </row>
    <row r="64" spans="1:16">
      <c r="A64" t="s">
        <v>15</v>
      </c>
      <c r="B64" t="s">
        <v>16</v>
      </c>
      <c r="C64" s="2">
        <v>68507.289999999994</v>
      </c>
      <c r="D64" s="1">
        <v>45697</v>
      </c>
      <c r="E64" s="1">
        <v>45697</v>
      </c>
      <c r="F64" t="s">
        <v>48</v>
      </c>
      <c r="H64" t="s">
        <v>49</v>
      </c>
      <c r="I64" t="s">
        <v>50</v>
      </c>
      <c r="J64" t="s">
        <v>49</v>
      </c>
      <c r="K64" t="s">
        <v>214</v>
      </c>
      <c r="L64" t="s">
        <v>22</v>
      </c>
      <c r="M64" s="3">
        <v>3.86</v>
      </c>
      <c r="N64" s="3">
        <v>0</v>
      </c>
      <c r="P64" t="s">
        <v>23</v>
      </c>
    </row>
    <row r="65" spans="1:16">
      <c r="A65" t="s">
        <v>15</v>
      </c>
      <c r="B65" t="s">
        <v>16</v>
      </c>
      <c r="C65" s="2">
        <v>68507.289999999994</v>
      </c>
      <c r="D65" s="1">
        <v>45697</v>
      </c>
      <c r="E65" s="1">
        <v>45697</v>
      </c>
      <c r="F65" t="s">
        <v>48</v>
      </c>
      <c r="H65" t="s">
        <v>215</v>
      </c>
      <c r="I65" t="s">
        <v>216</v>
      </c>
      <c r="J65" t="s">
        <v>217</v>
      </c>
      <c r="K65" t="s">
        <v>218</v>
      </c>
      <c r="L65" t="s">
        <v>22</v>
      </c>
      <c r="M65" s="3">
        <v>4957.75</v>
      </c>
      <c r="N65" s="3">
        <v>0</v>
      </c>
      <c r="P65" t="s">
        <v>23</v>
      </c>
    </row>
    <row r="66" spans="1:16">
      <c r="A66" t="s">
        <v>15</v>
      </c>
      <c r="B66" t="s">
        <v>16</v>
      </c>
      <c r="C66" s="2">
        <v>68507.289999999994</v>
      </c>
      <c r="D66" s="1">
        <v>45697</v>
      </c>
      <c r="E66" s="1">
        <v>45697</v>
      </c>
      <c r="F66" t="s">
        <v>212</v>
      </c>
      <c r="H66" t="s">
        <v>215</v>
      </c>
      <c r="I66" t="s">
        <v>216</v>
      </c>
      <c r="J66" t="s">
        <v>217</v>
      </c>
      <c r="K66" t="s">
        <v>219</v>
      </c>
      <c r="L66" t="s">
        <v>22</v>
      </c>
      <c r="M66" s="3">
        <v>36105.019999999997</v>
      </c>
      <c r="N66" s="3">
        <v>0</v>
      </c>
      <c r="P66" t="s">
        <v>23</v>
      </c>
    </row>
    <row r="67" spans="1:16">
      <c r="A67" t="s">
        <v>15</v>
      </c>
      <c r="B67" t="s">
        <v>16</v>
      </c>
      <c r="C67" s="2">
        <v>68507.289999999994</v>
      </c>
      <c r="D67" s="1">
        <v>45698</v>
      </c>
      <c r="E67" s="1">
        <v>45698</v>
      </c>
      <c r="F67" t="s">
        <v>62</v>
      </c>
      <c r="H67" t="s">
        <v>220</v>
      </c>
      <c r="I67" t="s">
        <v>64</v>
      </c>
      <c r="J67" t="s">
        <v>65</v>
      </c>
      <c r="K67" t="s">
        <v>221</v>
      </c>
      <c r="L67" t="s">
        <v>22</v>
      </c>
      <c r="M67" s="3">
        <v>0</v>
      </c>
      <c r="N67" s="3">
        <v>20114.5</v>
      </c>
      <c r="P67" t="s">
        <v>23</v>
      </c>
    </row>
    <row r="68" spans="1:16">
      <c r="A68" t="s">
        <v>15</v>
      </c>
      <c r="B68" t="s">
        <v>16</v>
      </c>
      <c r="C68" s="2">
        <v>68507.289999999994</v>
      </c>
      <c r="D68" s="1">
        <v>45698</v>
      </c>
      <c r="E68" s="1">
        <v>45698</v>
      </c>
      <c r="F68" t="s">
        <v>222</v>
      </c>
      <c r="H68" t="s">
        <v>223</v>
      </c>
      <c r="I68" t="s">
        <v>224</v>
      </c>
      <c r="J68" t="s">
        <v>225</v>
      </c>
      <c r="K68" t="s">
        <v>226</v>
      </c>
      <c r="L68" t="s">
        <v>144</v>
      </c>
      <c r="M68" s="3">
        <v>1208.03</v>
      </c>
      <c r="N68" s="3">
        <v>0</v>
      </c>
      <c r="P68" t="s">
        <v>23</v>
      </c>
    </row>
    <row r="69" spans="1:16">
      <c r="A69" t="s">
        <v>15</v>
      </c>
      <c r="B69" t="s">
        <v>16</v>
      </c>
      <c r="C69" s="2">
        <v>68507.289999999994</v>
      </c>
      <c r="D69" s="1">
        <v>45698</v>
      </c>
      <c r="E69" s="1">
        <v>45698</v>
      </c>
      <c r="F69" t="s">
        <v>227</v>
      </c>
      <c r="H69" t="s">
        <v>228</v>
      </c>
      <c r="I69" t="s">
        <v>216</v>
      </c>
      <c r="J69" t="s">
        <v>217</v>
      </c>
      <c r="K69" t="s">
        <v>229</v>
      </c>
      <c r="L69" t="s">
        <v>22</v>
      </c>
      <c r="M69" s="3">
        <v>0</v>
      </c>
      <c r="N69" s="3">
        <v>98259.4</v>
      </c>
      <c r="P69" t="s">
        <v>23</v>
      </c>
    </row>
    <row r="70" spans="1:16">
      <c r="A70" t="s">
        <v>15</v>
      </c>
      <c r="B70" t="s">
        <v>16</v>
      </c>
      <c r="C70" s="2">
        <v>68507.289999999994</v>
      </c>
      <c r="D70" s="1">
        <v>45700</v>
      </c>
      <c r="E70" s="1">
        <v>45700</v>
      </c>
      <c r="H70" t="s">
        <v>230</v>
      </c>
      <c r="I70" t="s">
        <v>231</v>
      </c>
      <c r="J70" t="s">
        <v>232</v>
      </c>
      <c r="K70" t="s">
        <v>233</v>
      </c>
      <c r="L70" t="s">
        <v>41</v>
      </c>
      <c r="M70" s="3">
        <v>0</v>
      </c>
      <c r="N70" s="3">
        <v>1447.66</v>
      </c>
      <c r="P70" t="s">
        <v>23</v>
      </c>
    </row>
    <row r="71" spans="1:16">
      <c r="A71" t="s">
        <v>15</v>
      </c>
      <c r="B71" t="s">
        <v>16</v>
      </c>
      <c r="C71" s="2">
        <v>68507.289999999994</v>
      </c>
      <c r="D71" s="1">
        <v>45704</v>
      </c>
      <c r="E71" s="1">
        <v>45704</v>
      </c>
      <c r="F71" t="s">
        <v>234</v>
      </c>
      <c r="H71" t="s">
        <v>43</v>
      </c>
      <c r="I71" t="s">
        <v>235</v>
      </c>
      <c r="J71" t="s">
        <v>236</v>
      </c>
      <c r="K71" t="s">
        <v>237</v>
      </c>
      <c r="L71" t="s">
        <v>47</v>
      </c>
      <c r="M71" s="3">
        <v>0</v>
      </c>
      <c r="N71" s="3">
        <v>440.08</v>
      </c>
      <c r="P71" t="s">
        <v>23</v>
      </c>
    </row>
    <row r="72" spans="1:16">
      <c r="A72" t="s">
        <v>15</v>
      </c>
      <c r="B72" t="s">
        <v>16</v>
      </c>
      <c r="C72" s="2">
        <v>68507.289999999994</v>
      </c>
      <c r="D72" s="1">
        <v>45704</v>
      </c>
      <c r="E72" s="1">
        <v>45704</v>
      </c>
      <c r="F72" t="s">
        <v>238</v>
      </c>
      <c r="H72" t="s">
        <v>43</v>
      </c>
      <c r="I72" t="s">
        <v>239</v>
      </c>
      <c r="J72" t="s">
        <v>240</v>
      </c>
      <c r="K72" t="s">
        <v>241</v>
      </c>
      <c r="L72" t="s">
        <v>47</v>
      </c>
      <c r="M72" s="3">
        <v>0</v>
      </c>
      <c r="N72" s="3">
        <v>1721.49</v>
      </c>
      <c r="P72" t="s">
        <v>23</v>
      </c>
    </row>
    <row r="73" spans="1:16">
      <c r="A73" t="s">
        <v>15</v>
      </c>
      <c r="B73" t="s">
        <v>16</v>
      </c>
      <c r="C73" s="2">
        <v>68507.289999999994</v>
      </c>
      <c r="D73" s="1">
        <v>45704</v>
      </c>
      <c r="E73" s="1">
        <v>45704</v>
      </c>
      <c r="F73" t="s">
        <v>242</v>
      </c>
      <c r="H73" t="s">
        <v>43</v>
      </c>
      <c r="I73" t="s">
        <v>243</v>
      </c>
      <c r="J73" t="s">
        <v>244</v>
      </c>
      <c r="K73" t="s">
        <v>245</v>
      </c>
      <c r="L73" t="s">
        <v>47</v>
      </c>
      <c r="M73" s="3">
        <v>0</v>
      </c>
      <c r="N73" s="3">
        <v>26.94</v>
      </c>
      <c r="P73" t="s">
        <v>23</v>
      </c>
    </row>
    <row r="74" spans="1:16">
      <c r="A74" t="s">
        <v>15</v>
      </c>
      <c r="B74" t="s">
        <v>16</v>
      </c>
      <c r="C74" s="2">
        <v>68507.289999999994</v>
      </c>
      <c r="D74" s="1">
        <v>45704</v>
      </c>
      <c r="E74" s="1">
        <v>45704</v>
      </c>
      <c r="F74" t="s">
        <v>246</v>
      </c>
      <c r="H74" t="s">
        <v>43</v>
      </c>
      <c r="I74" t="s">
        <v>224</v>
      </c>
      <c r="J74" t="s">
        <v>225</v>
      </c>
      <c r="K74" t="s">
        <v>247</v>
      </c>
      <c r="L74" t="s">
        <v>47</v>
      </c>
      <c r="M74" s="3">
        <v>0</v>
      </c>
      <c r="N74" s="3">
        <v>696.94</v>
      </c>
      <c r="P74" t="s">
        <v>23</v>
      </c>
    </row>
    <row r="75" spans="1:16">
      <c r="A75" t="s">
        <v>15</v>
      </c>
      <c r="B75" t="s">
        <v>16</v>
      </c>
      <c r="C75" s="2">
        <v>68507.289999999994</v>
      </c>
      <c r="D75" s="1">
        <v>45704</v>
      </c>
      <c r="E75" s="1">
        <v>45704</v>
      </c>
      <c r="F75" t="s">
        <v>248</v>
      </c>
      <c r="H75" t="s">
        <v>43</v>
      </c>
      <c r="I75" t="s">
        <v>249</v>
      </c>
      <c r="J75" t="s">
        <v>250</v>
      </c>
      <c r="K75" t="s">
        <v>251</v>
      </c>
      <c r="L75" t="s">
        <v>47</v>
      </c>
      <c r="M75" s="3">
        <v>0</v>
      </c>
      <c r="N75" s="3">
        <v>1904.29</v>
      </c>
      <c r="P75" t="s">
        <v>23</v>
      </c>
    </row>
    <row r="76" spans="1:16">
      <c r="A76" t="s">
        <v>15</v>
      </c>
      <c r="B76" t="s">
        <v>16</v>
      </c>
      <c r="C76" s="2">
        <v>68507.289999999994</v>
      </c>
      <c r="D76" s="1">
        <v>45704</v>
      </c>
      <c r="E76" s="1">
        <v>45704</v>
      </c>
      <c r="F76" t="s">
        <v>252</v>
      </c>
      <c r="H76" t="s">
        <v>43</v>
      </c>
      <c r="I76" t="s">
        <v>253</v>
      </c>
      <c r="J76" t="s">
        <v>254</v>
      </c>
      <c r="K76" t="s">
        <v>255</v>
      </c>
      <c r="L76" t="s">
        <v>47</v>
      </c>
      <c r="M76" s="3">
        <v>0</v>
      </c>
      <c r="N76" s="3">
        <v>2225.2800000000002</v>
      </c>
      <c r="P76" t="s">
        <v>23</v>
      </c>
    </row>
    <row r="77" spans="1:16">
      <c r="A77" t="s">
        <v>15</v>
      </c>
      <c r="B77" t="s">
        <v>16</v>
      </c>
      <c r="C77" s="2">
        <v>68507.289999999994</v>
      </c>
      <c r="D77" s="1">
        <v>45704</v>
      </c>
      <c r="E77" s="1">
        <v>45704</v>
      </c>
      <c r="F77" t="s">
        <v>256</v>
      </c>
      <c r="H77" t="s">
        <v>43</v>
      </c>
      <c r="I77" t="s">
        <v>134</v>
      </c>
      <c r="J77" t="s">
        <v>135</v>
      </c>
      <c r="K77" t="s">
        <v>257</v>
      </c>
      <c r="L77" t="s">
        <v>47</v>
      </c>
      <c r="M77" s="3">
        <v>0</v>
      </c>
      <c r="N77" s="3">
        <v>2642.72</v>
      </c>
      <c r="P77" t="s">
        <v>23</v>
      </c>
    </row>
    <row r="78" spans="1:16">
      <c r="A78" t="s">
        <v>15</v>
      </c>
      <c r="B78" t="s">
        <v>16</v>
      </c>
      <c r="C78" s="2">
        <v>68507.289999999994</v>
      </c>
      <c r="D78" s="1">
        <v>45704</v>
      </c>
      <c r="E78" s="1">
        <v>45704</v>
      </c>
      <c r="F78" t="s">
        <v>258</v>
      </c>
      <c r="H78" t="s">
        <v>43</v>
      </c>
      <c r="I78" t="s">
        <v>259</v>
      </c>
      <c r="J78" t="s">
        <v>260</v>
      </c>
      <c r="K78" t="s">
        <v>261</v>
      </c>
      <c r="L78" t="s">
        <v>47</v>
      </c>
      <c r="M78" s="3">
        <v>0</v>
      </c>
      <c r="N78" s="3">
        <v>2947.52</v>
      </c>
      <c r="P78" t="s">
        <v>23</v>
      </c>
    </row>
    <row r="79" spans="1:16">
      <c r="A79" t="s">
        <v>15</v>
      </c>
      <c r="B79" t="s">
        <v>16</v>
      </c>
      <c r="C79" s="2">
        <v>68507.289999999994</v>
      </c>
      <c r="D79" s="1">
        <v>45704</v>
      </c>
      <c r="E79" s="1">
        <v>45704</v>
      </c>
      <c r="F79" t="s">
        <v>262</v>
      </c>
      <c r="H79" t="s">
        <v>43</v>
      </c>
      <c r="I79" t="s">
        <v>263</v>
      </c>
      <c r="J79" t="s">
        <v>264</v>
      </c>
      <c r="K79" t="s">
        <v>265</v>
      </c>
      <c r="L79" t="s">
        <v>47</v>
      </c>
      <c r="M79" s="3">
        <v>0</v>
      </c>
      <c r="N79" s="3">
        <v>279.12</v>
      </c>
      <c r="P79" t="s">
        <v>23</v>
      </c>
    </row>
    <row r="80" spans="1:16">
      <c r="A80" t="s">
        <v>15</v>
      </c>
      <c r="B80" t="s">
        <v>16</v>
      </c>
      <c r="C80" s="2">
        <v>68507.289999999994</v>
      </c>
      <c r="D80" s="1">
        <v>45704</v>
      </c>
      <c r="E80" s="1">
        <v>45704</v>
      </c>
      <c r="F80" t="s">
        <v>266</v>
      </c>
      <c r="H80" t="s">
        <v>101</v>
      </c>
      <c r="I80" t="s">
        <v>102</v>
      </c>
      <c r="J80" t="s">
        <v>103</v>
      </c>
      <c r="K80" t="s">
        <v>267</v>
      </c>
      <c r="L80" t="s">
        <v>47</v>
      </c>
      <c r="M80" s="3">
        <v>0</v>
      </c>
      <c r="N80" s="3">
        <v>3685.94</v>
      </c>
      <c r="P80" t="s">
        <v>23</v>
      </c>
    </row>
    <row r="81" spans="1:16">
      <c r="A81" t="s">
        <v>15</v>
      </c>
      <c r="B81" t="s">
        <v>16</v>
      </c>
      <c r="C81" s="2">
        <v>68507.289999999994</v>
      </c>
      <c r="D81" s="1">
        <v>45707</v>
      </c>
      <c r="E81" s="1">
        <v>45707</v>
      </c>
      <c r="F81" t="s">
        <v>268</v>
      </c>
      <c r="H81" t="s">
        <v>43</v>
      </c>
      <c r="I81" t="s">
        <v>263</v>
      </c>
      <c r="J81" t="s">
        <v>264</v>
      </c>
      <c r="K81" t="s">
        <v>269</v>
      </c>
      <c r="L81" t="s">
        <v>47</v>
      </c>
      <c r="M81" s="3">
        <v>0</v>
      </c>
      <c r="N81" s="3">
        <v>19.059999999999999</v>
      </c>
      <c r="P81" t="s">
        <v>23</v>
      </c>
    </row>
    <row r="82" spans="1:16">
      <c r="A82" t="s">
        <v>15</v>
      </c>
      <c r="B82" t="s">
        <v>16</v>
      </c>
      <c r="C82" s="2">
        <v>68507.289999999994</v>
      </c>
      <c r="D82" s="1">
        <v>45707</v>
      </c>
      <c r="E82" s="1">
        <v>45707</v>
      </c>
      <c r="F82" t="s">
        <v>270</v>
      </c>
      <c r="H82" t="s">
        <v>271</v>
      </c>
      <c r="I82" t="s">
        <v>44</v>
      </c>
      <c r="J82" t="s">
        <v>45</v>
      </c>
      <c r="K82" t="s">
        <v>272</v>
      </c>
      <c r="L82" t="s">
        <v>47</v>
      </c>
      <c r="M82" s="3">
        <v>0</v>
      </c>
      <c r="N82" s="3">
        <v>39022.730000000003</v>
      </c>
      <c r="P82" t="s">
        <v>23</v>
      </c>
    </row>
    <row r="83" spans="1:16">
      <c r="A83" t="s">
        <v>15</v>
      </c>
      <c r="B83" t="s">
        <v>16</v>
      </c>
      <c r="C83" s="2">
        <v>68507.289999999994</v>
      </c>
      <c r="D83" s="1">
        <v>45707</v>
      </c>
      <c r="E83" s="1">
        <v>45707</v>
      </c>
      <c r="F83" t="s">
        <v>273</v>
      </c>
      <c r="H83" t="s">
        <v>43</v>
      </c>
      <c r="I83" t="s">
        <v>184</v>
      </c>
      <c r="J83" t="s">
        <v>185</v>
      </c>
      <c r="K83" t="s">
        <v>274</v>
      </c>
      <c r="L83" t="s">
        <v>47</v>
      </c>
      <c r="M83" s="3">
        <v>0</v>
      </c>
      <c r="N83" s="3">
        <v>14319.97</v>
      </c>
      <c r="P83" t="s">
        <v>23</v>
      </c>
    </row>
    <row r="84" spans="1:16">
      <c r="A84" t="s">
        <v>15</v>
      </c>
      <c r="B84" t="s">
        <v>16</v>
      </c>
      <c r="C84" s="2">
        <v>68507.289999999994</v>
      </c>
      <c r="D84" s="1">
        <v>45707</v>
      </c>
      <c r="E84" s="1">
        <v>45707</v>
      </c>
      <c r="F84" t="s">
        <v>275</v>
      </c>
      <c r="H84" t="s">
        <v>43</v>
      </c>
      <c r="I84" t="s">
        <v>276</v>
      </c>
      <c r="J84" t="s">
        <v>277</v>
      </c>
      <c r="K84" t="s">
        <v>278</v>
      </c>
      <c r="L84" t="s">
        <v>47</v>
      </c>
      <c r="M84" s="3">
        <v>0</v>
      </c>
      <c r="N84" s="3">
        <v>13316.24</v>
      </c>
      <c r="P84" t="s">
        <v>23</v>
      </c>
    </row>
    <row r="85" spans="1:16">
      <c r="A85" t="s">
        <v>15</v>
      </c>
      <c r="B85" t="s">
        <v>16</v>
      </c>
      <c r="C85" s="2">
        <v>68507.289999999994</v>
      </c>
      <c r="D85" s="1">
        <v>45707</v>
      </c>
      <c r="E85" s="1">
        <v>45707</v>
      </c>
      <c r="F85" t="s">
        <v>279</v>
      </c>
      <c r="H85" t="s">
        <v>43</v>
      </c>
      <c r="I85" t="s">
        <v>110</v>
      </c>
      <c r="J85" t="s">
        <v>111</v>
      </c>
      <c r="K85" t="s">
        <v>280</v>
      </c>
      <c r="L85" t="s">
        <v>47</v>
      </c>
      <c r="M85" s="3">
        <v>0</v>
      </c>
      <c r="N85" s="3">
        <v>6598.42</v>
      </c>
      <c r="P85" t="s">
        <v>23</v>
      </c>
    </row>
    <row r="86" spans="1:16">
      <c r="A86" t="s">
        <v>15</v>
      </c>
      <c r="B86" t="s">
        <v>16</v>
      </c>
      <c r="C86" s="2">
        <v>68507.289999999994</v>
      </c>
      <c r="D86" s="1">
        <v>45708</v>
      </c>
      <c r="E86" s="1">
        <v>45708</v>
      </c>
      <c r="F86" t="s">
        <v>119</v>
      </c>
      <c r="H86" t="s">
        <v>120</v>
      </c>
      <c r="I86" t="s">
        <v>121</v>
      </c>
      <c r="J86" t="s">
        <v>122</v>
      </c>
      <c r="K86" t="s">
        <v>281</v>
      </c>
      <c r="L86" t="s">
        <v>22</v>
      </c>
      <c r="M86" s="3">
        <v>0</v>
      </c>
      <c r="N86" s="3">
        <v>15595.88</v>
      </c>
      <c r="P86" t="s">
        <v>23</v>
      </c>
    </row>
    <row r="87" spans="1:16">
      <c r="A87" t="s">
        <v>15</v>
      </c>
      <c r="B87" t="s">
        <v>16</v>
      </c>
      <c r="C87" s="2">
        <v>68507.289999999994</v>
      </c>
      <c r="D87" s="1">
        <v>45711</v>
      </c>
      <c r="E87" s="1">
        <v>45711</v>
      </c>
      <c r="F87" t="s">
        <v>126</v>
      </c>
      <c r="H87" t="s">
        <v>127</v>
      </c>
      <c r="I87" t="s">
        <v>128</v>
      </c>
      <c r="J87" t="s">
        <v>129</v>
      </c>
      <c r="K87" t="s">
        <v>282</v>
      </c>
      <c r="L87" t="s">
        <v>22</v>
      </c>
      <c r="M87" s="3">
        <v>0</v>
      </c>
      <c r="N87" s="3">
        <v>13793.94</v>
      </c>
      <c r="P87" t="s">
        <v>23</v>
      </c>
    </row>
    <row r="88" spans="1:16">
      <c r="A88" t="s">
        <v>15</v>
      </c>
      <c r="B88" t="s">
        <v>16</v>
      </c>
      <c r="C88" s="2">
        <v>68507.289999999994</v>
      </c>
      <c r="D88" s="1">
        <v>45713</v>
      </c>
      <c r="E88" s="1">
        <v>45713</v>
      </c>
      <c r="F88" t="s">
        <v>283</v>
      </c>
      <c r="H88" t="s">
        <v>284</v>
      </c>
      <c r="I88" t="s">
        <v>285</v>
      </c>
      <c r="J88" t="s">
        <v>286</v>
      </c>
      <c r="K88" t="s">
        <v>287</v>
      </c>
      <c r="L88" t="s">
        <v>144</v>
      </c>
      <c r="M88" s="3">
        <v>2472.7600000000002</v>
      </c>
      <c r="N88" s="3">
        <v>0</v>
      </c>
      <c r="P88" t="s">
        <v>23</v>
      </c>
    </row>
    <row r="89" spans="1:16">
      <c r="A89" t="s">
        <v>15</v>
      </c>
      <c r="B89" t="s">
        <v>16</v>
      </c>
      <c r="C89" s="2">
        <v>68507.289999999994</v>
      </c>
      <c r="D89" s="1">
        <v>45715</v>
      </c>
      <c r="E89" s="1">
        <v>45715</v>
      </c>
      <c r="F89" t="s">
        <v>288</v>
      </c>
      <c r="H89" t="s">
        <v>43</v>
      </c>
      <c r="I89" t="s">
        <v>74</v>
      </c>
      <c r="J89" t="s">
        <v>75</v>
      </c>
      <c r="K89" t="s">
        <v>289</v>
      </c>
      <c r="L89" t="s">
        <v>47</v>
      </c>
      <c r="M89" s="3">
        <v>0</v>
      </c>
      <c r="N89" s="3">
        <v>270.33</v>
      </c>
      <c r="P89" t="s">
        <v>23</v>
      </c>
    </row>
    <row r="90" spans="1:16">
      <c r="A90" t="s">
        <v>15</v>
      </c>
      <c r="B90" t="s">
        <v>16</v>
      </c>
      <c r="C90" s="2">
        <v>68507.289999999994</v>
      </c>
      <c r="D90" s="1">
        <v>45716</v>
      </c>
      <c r="E90" s="1">
        <v>45716</v>
      </c>
      <c r="H90" t="s">
        <v>290</v>
      </c>
      <c r="I90" t="s">
        <v>197</v>
      </c>
      <c r="J90" t="s">
        <v>198</v>
      </c>
      <c r="K90" t="s">
        <v>291</v>
      </c>
      <c r="L90" t="s">
        <v>22</v>
      </c>
      <c r="M90" s="3">
        <v>0</v>
      </c>
      <c r="N90" s="3">
        <v>128.49</v>
      </c>
      <c r="P90" t="s">
        <v>23</v>
      </c>
    </row>
    <row r="91" spans="1:16">
      <c r="A91" t="s">
        <v>15</v>
      </c>
      <c r="B91" t="s">
        <v>16</v>
      </c>
      <c r="C91" s="2">
        <v>68507.289999999994</v>
      </c>
      <c r="D91" s="1">
        <v>45716</v>
      </c>
      <c r="E91" s="1">
        <v>45716</v>
      </c>
      <c r="F91" t="s">
        <v>292</v>
      </c>
      <c r="H91" t="s">
        <v>43</v>
      </c>
      <c r="I91" t="s">
        <v>150</v>
      </c>
      <c r="J91" t="s">
        <v>151</v>
      </c>
      <c r="K91" t="s">
        <v>293</v>
      </c>
      <c r="L91" t="s">
        <v>47</v>
      </c>
      <c r="M91" s="3">
        <v>0</v>
      </c>
      <c r="N91" s="3">
        <v>147.63999999999999</v>
      </c>
      <c r="P91" t="s">
        <v>23</v>
      </c>
    </row>
    <row r="92" spans="1:16">
      <c r="A92" t="s">
        <v>15</v>
      </c>
      <c r="B92" t="s">
        <v>16</v>
      </c>
      <c r="C92" s="2">
        <v>68507.289999999994</v>
      </c>
      <c r="D92" s="1">
        <v>45716</v>
      </c>
      <c r="E92" s="1">
        <v>45716</v>
      </c>
      <c r="F92" t="s">
        <v>294</v>
      </c>
      <c r="H92" t="s">
        <v>43</v>
      </c>
      <c r="I92" t="s">
        <v>295</v>
      </c>
      <c r="J92" t="s">
        <v>296</v>
      </c>
      <c r="K92" t="s">
        <v>297</v>
      </c>
      <c r="L92" t="s">
        <v>47</v>
      </c>
      <c r="M92" s="3">
        <v>0</v>
      </c>
      <c r="N92" s="3">
        <v>239.28</v>
      </c>
      <c r="P92" t="s">
        <v>23</v>
      </c>
    </row>
    <row r="93" spans="1:16">
      <c r="A93" t="s">
        <v>15</v>
      </c>
      <c r="B93" t="s">
        <v>16</v>
      </c>
      <c r="C93" s="2">
        <v>68507.289999999994</v>
      </c>
      <c r="D93" s="1">
        <v>45716</v>
      </c>
      <c r="E93" s="1">
        <v>45716</v>
      </c>
      <c r="F93" t="s">
        <v>298</v>
      </c>
      <c r="H93" t="s">
        <v>43</v>
      </c>
      <c r="I93" t="s">
        <v>299</v>
      </c>
      <c r="J93" t="s">
        <v>300</v>
      </c>
      <c r="K93" t="s">
        <v>301</v>
      </c>
      <c r="L93" t="s">
        <v>47</v>
      </c>
      <c r="M93" s="3">
        <v>0</v>
      </c>
      <c r="N93" s="3">
        <v>334.26</v>
      </c>
      <c r="P93" t="s">
        <v>23</v>
      </c>
    </row>
    <row r="94" spans="1:16">
      <c r="A94" t="s">
        <v>15</v>
      </c>
      <c r="B94" t="s">
        <v>16</v>
      </c>
      <c r="C94" s="2">
        <v>68507.289999999994</v>
      </c>
      <c r="D94" s="1">
        <v>45716</v>
      </c>
      <c r="E94" s="1">
        <v>45716</v>
      </c>
      <c r="F94" t="s">
        <v>302</v>
      </c>
      <c r="H94" t="s">
        <v>43</v>
      </c>
      <c r="I94" t="s">
        <v>303</v>
      </c>
      <c r="J94" t="s">
        <v>304</v>
      </c>
      <c r="K94" t="s">
        <v>305</v>
      </c>
      <c r="L94" t="s">
        <v>47</v>
      </c>
      <c r="M94" s="3">
        <v>0</v>
      </c>
      <c r="N94" s="3">
        <v>400.86</v>
      </c>
      <c r="P94" t="s">
        <v>23</v>
      </c>
    </row>
    <row r="95" spans="1:16">
      <c r="A95" t="s">
        <v>15</v>
      </c>
      <c r="B95" t="s">
        <v>16</v>
      </c>
      <c r="C95" s="2">
        <v>68507.289999999994</v>
      </c>
      <c r="D95" s="1">
        <v>45716</v>
      </c>
      <c r="E95" s="1">
        <v>45716</v>
      </c>
      <c r="F95" t="s">
        <v>306</v>
      </c>
      <c r="H95" t="s">
        <v>43</v>
      </c>
      <c r="I95" t="s">
        <v>307</v>
      </c>
      <c r="J95" t="s">
        <v>308</v>
      </c>
      <c r="K95" t="s">
        <v>309</v>
      </c>
      <c r="L95" t="s">
        <v>47</v>
      </c>
      <c r="M95" s="3">
        <v>0</v>
      </c>
      <c r="N95" s="3">
        <v>719.01</v>
      </c>
      <c r="P95" t="s">
        <v>23</v>
      </c>
    </row>
    <row r="96" spans="1:16">
      <c r="A96" t="s">
        <v>15</v>
      </c>
      <c r="B96" t="s">
        <v>16</v>
      </c>
      <c r="C96" s="2">
        <v>68507.289999999994</v>
      </c>
      <c r="D96" s="1">
        <v>45716</v>
      </c>
      <c r="E96" s="1">
        <v>45716</v>
      </c>
      <c r="F96" t="s">
        <v>310</v>
      </c>
      <c r="H96" t="s">
        <v>43</v>
      </c>
      <c r="I96" t="s">
        <v>93</v>
      </c>
      <c r="J96" t="s">
        <v>94</v>
      </c>
      <c r="K96" t="s">
        <v>311</v>
      </c>
      <c r="L96" t="s">
        <v>47</v>
      </c>
      <c r="M96" s="3">
        <v>0</v>
      </c>
      <c r="N96" s="3">
        <v>1294.1500000000001</v>
      </c>
      <c r="P96" t="s">
        <v>23</v>
      </c>
    </row>
    <row r="97" spans="1:16">
      <c r="A97" t="s">
        <v>15</v>
      </c>
      <c r="B97" t="s">
        <v>16</v>
      </c>
      <c r="C97" s="2">
        <v>68507.289999999994</v>
      </c>
      <c r="D97" s="1">
        <v>45716</v>
      </c>
      <c r="E97" s="1">
        <v>45716</v>
      </c>
      <c r="F97" t="s">
        <v>312</v>
      </c>
      <c r="H97" t="s">
        <v>43</v>
      </c>
      <c r="I97" t="s">
        <v>168</v>
      </c>
      <c r="J97" t="s">
        <v>169</v>
      </c>
      <c r="K97" t="s">
        <v>313</v>
      </c>
      <c r="L97" t="s">
        <v>47</v>
      </c>
      <c r="M97" s="3">
        <v>0</v>
      </c>
      <c r="N97" s="3">
        <v>1479.11</v>
      </c>
      <c r="P97" t="s">
        <v>23</v>
      </c>
    </row>
    <row r="98" spans="1:16">
      <c r="A98" t="s">
        <v>15</v>
      </c>
      <c r="B98" t="s">
        <v>16</v>
      </c>
      <c r="C98" s="2">
        <v>68507.289999999994</v>
      </c>
      <c r="D98" s="1">
        <v>45716</v>
      </c>
      <c r="E98" s="1">
        <v>45716</v>
      </c>
      <c r="F98" t="s">
        <v>314</v>
      </c>
      <c r="H98" t="s">
        <v>43</v>
      </c>
      <c r="I98" t="s">
        <v>106</v>
      </c>
      <c r="J98" t="s">
        <v>107</v>
      </c>
      <c r="K98" t="s">
        <v>315</v>
      </c>
      <c r="L98" t="s">
        <v>47</v>
      </c>
      <c r="M98" s="3">
        <v>0</v>
      </c>
      <c r="N98" s="3">
        <v>2413.65</v>
      </c>
      <c r="P98" t="s">
        <v>23</v>
      </c>
    </row>
    <row r="99" spans="1:16">
      <c r="A99" t="s">
        <v>15</v>
      </c>
      <c r="B99" t="s">
        <v>16</v>
      </c>
      <c r="C99" s="2">
        <v>68507.289999999994</v>
      </c>
      <c r="D99" s="1">
        <v>45716</v>
      </c>
      <c r="E99" s="1">
        <v>45716</v>
      </c>
      <c r="F99" t="s">
        <v>316</v>
      </c>
      <c r="H99" t="s">
        <v>43</v>
      </c>
      <c r="I99" t="s">
        <v>317</v>
      </c>
      <c r="J99" t="s">
        <v>318</v>
      </c>
      <c r="K99" t="s">
        <v>319</v>
      </c>
      <c r="L99" t="s">
        <v>47</v>
      </c>
      <c r="M99" s="3">
        <v>0</v>
      </c>
      <c r="N99" s="3">
        <v>7066.85</v>
      </c>
      <c r="P99" t="s">
        <v>23</v>
      </c>
    </row>
    <row r="100" spans="1:16">
      <c r="A100" t="s">
        <v>15</v>
      </c>
      <c r="B100" t="s">
        <v>16</v>
      </c>
      <c r="C100" s="2">
        <v>68507.289999999994</v>
      </c>
      <c r="D100" s="1">
        <v>45716</v>
      </c>
      <c r="E100" s="1">
        <v>45716</v>
      </c>
      <c r="F100" t="s">
        <v>320</v>
      </c>
      <c r="H100" t="s">
        <v>43</v>
      </c>
      <c r="I100" t="s">
        <v>44</v>
      </c>
      <c r="J100" t="s">
        <v>45</v>
      </c>
      <c r="K100" t="s">
        <v>321</v>
      </c>
      <c r="L100" t="s">
        <v>47</v>
      </c>
      <c r="M100" s="3">
        <v>0</v>
      </c>
      <c r="N100" s="3">
        <v>21489.97</v>
      </c>
      <c r="P100" t="s">
        <v>23</v>
      </c>
    </row>
    <row r="101" spans="1:16">
      <c r="A101" t="s">
        <v>15</v>
      </c>
      <c r="B101" t="s">
        <v>16</v>
      </c>
      <c r="C101" s="2">
        <v>68507.289999999994</v>
      </c>
      <c r="D101" s="1">
        <v>45718</v>
      </c>
      <c r="E101" s="1">
        <v>45718</v>
      </c>
      <c r="F101" t="s">
        <v>24</v>
      </c>
      <c r="H101" t="s">
        <v>18</v>
      </c>
      <c r="I101" t="s">
        <v>25</v>
      </c>
      <c r="J101" t="s">
        <v>26</v>
      </c>
      <c r="K101" t="s">
        <v>322</v>
      </c>
      <c r="L101" t="s">
        <v>22</v>
      </c>
      <c r="M101" s="3">
        <v>0</v>
      </c>
      <c r="N101" s="3">
        <v>395.1</v>
      </c>
      <c r="P101" t="s">
        <v>23</v>
      </c>
    </row>
    <row r="102" spans="1:16">
      <c r="A102" t="s">
        <v>15</v>
      </c>
      <c r="B102" t="s">
        <v>16</v>
      </c>
      <c r="C102" s="2">
        <v>68507.289999999994</v>
      </c>
      <c r="D102" s="1">
        <v>45718</v>
      </c>
      <c r="E102" s="1">
        <v>45718</v>
      </c>
      <c r="F102" t="s">
        <v>28</v>
      </c>
      <c r="H102" t="s">
        <v>18</v>
      </c>
      <c r="I102" t="s">
        <v>29</v>
      </c>
      <c r="J102" t="s">
        <v>30</v>
      </c>
      <c r="K102" t="s">
        <v>323</v>
      </c>
      <c r="L102" t="s">
        <v>22</v>
      </c>
      <c r="M102" s="3">
        <v>0</v>
      </c>
      <c r="N102" s="3">
        <v>2502.89</v>
      </c>
      <c r="P102" t="s">
        <v>23</v>
      </c>
    </row>
    <row r="103" spans="1:16">
      <c r="A103" t="s">
        <v>15</v>
      </c>
      <c r="B103" t="s">
        <v>16</v>
      </c>
      <c r="C103" s="2">
        <v>68507.289999999994</v>
      </c>
      <c r="D103" s="1">
        <v>45719</v>
      </c>
      <c r="E103" s="1">
        <v>45719</v>
      </c>
      <c r="F103" t="s">
        <v>324</v>
      </c>
      <c r="H103" t="s">
        <v>325</v>
      </c>
      <c r="I103" t="s">
        <v>326</v>
      </c>
      <c r="J103" t="s">
        <v>327</v>
      </c>
      <c r="K103" t="s">
        <v>328</v>
      </c>
      <c r="L103" t="s">
        <v>144</v>
      </c>
      <c r="M103" s="3">
        <v>1630.36</v>
      </c>
      <c r="N103" s="3">
        <v>0</v>
      </c>
      <c r="P103" t="s">
        <v>23</v>
      </c>
    </row>
    <row r="104" spans="1:16">
      <c r="A104" t="s">
        <v>15</v>
      </c>
      <c r="B104" t="s">
        <v>16</v>
      </c>
      <c r="C104" s="2">
        <v>68507.289999999994</v>
      </c>
      <c r="D104" s="1">
        <v>45719</v>
      </c>
      <c r="E104" s="1">
        <v>45719</v>
      </c>
      <c r="F104" t="s">
        <v>329</v>
      </c>
      <c r="H104" t="s">
        <v>330</v>
      </c>
      <c r="I104" t="s">
        <v>331</v>
      </c>
      <c r="J104" t="s">
        <v>332</v>
      </c>
      <c r="K104" t="s">
        <v>333</v>
      </c>
      <c r="L104" t="s">
        <v>22</v>
      </c>
      <c r="M104" s="3">
        <v>0</v>
      </c>
      <c r="N104" s="3">
        <v>3335.19</v>
      </c>
      <c r="P104" t="s">
        <v>23</v>
      </c>
    </row>
    <row r="105" spans="1:16">
      <c r="A105" t="s">
        <v>15</v>
      </c>
      <c r="B105" t="s">
        <v>16</v>
      </c>
      <c r="C105" s="2">
        <v>68507.289999999994</v>
      </c>
      <c r="D105" s="1">
        <v>45719</v>
      </c>
      <c r="E105" s="1">
        <v>45719</v>
      </c>
      <c r="F105" t="s">
        <v>334</v>
      </c>
      <c r="H105" t="s">
        <v>335</v>
      </c>
      <c r="I105" t="s">
        <v>34</v>
      </c>
      <c r="J105" t="s">
        <v>35</v>
      </c>
      <c r="K105" t="s">
        <v>336</v>
      </c>
      <c r="L105" t="s">
        <v>22</v>
      </c>
      <c r="M105" s="3">
        <v>0</v>
      </c>
      <c r="N105" s="3">
        <v>51270.54</v>
      </c>
      <c r="P105" t="s">
        <v>23</v>
      </c>
    </row>
    <row r="106" spans="1:16">
      <c r="A106" t="s">
        <v>15</v>
      </c>
      <c r="B106" t="s">
        <v>16</v>
      </c>
      <c r="C106" s="2">
        <v>68507.289999999994</v>
      </c>
      <c r="D106" s="1">
        <v>45723</v>
      </c>
      <c r="E106" s="1">
        <v>45723</v>
      </c>
      <c r="F106" t="s">
        <v>67</v>
      </c>
      <c r="H106" t="s">
        <v>70</v>
      </c>
      <c r="I106" t="s">
        <v>69</v>
      </c>
      <c r="J106" t="s">
        <v>70</v>
      </c>
      <c r="K106" t="s">
        <v>337</v>
      </c>
      <c r="L106" t="s">
        <v>22</v>
      </c>
      <c r="M106" s="3">
        <v>617.39</v>
      </c>
      <c r="N106" s="3">
        <v>0</v>
      </c>
      <c r="P106" t="s">
        <v>23</v>
      </c>
    </row>
    <row r="107" spans="1:16">
      <c r="A107" t="s">
        <v>15</v>
      </c>
      <c r="B107" t="s">
        <v>16</v>
      </c>
      <c r="C107" s="2">
        <v>68507.289999999994</v>
      </c>
      <c r="D107" s="1">
        <v>45723</v>
      </c>
      <c r="E107" s="1">
        <v>45723</v>
      </c>
      <c r="F107" t="s">
        <v>57</v>
      </c>
      <c r="H107" t="s">
        <v>58</v>
      </c>
      <c r="I107" t="s">
        <v>59</v>
      </c>
      <c r="J107" t="s">
        <v>60</v>
      </c>
      <c r="K107" t="s">
        <v>338</v>
      </c>
      <c r="L107" t="s">
        <v>22</v>
      </c>
      <c r="M107" s="3">
        <v>12006.37</v>
      </c>
      <c r="N107" s="3">
        <v>0</v>
      </c>
      <c r="P107" t="s">
        <v>23</v>
      </c>
    </row>
    <row r="108" spans="1:16">
      <c r="A108" t="s">
        <v>15</v>
      </c>
      <c r="B108" t="s">
        <v>16</v>
      </c>
      <c r="C108" s="2">
        <v>68507.289999999994</v>
      </c>
      <c r="D108" s="1">
        <v>45726</v>
      </c>
      <c r="E108" s="1">
        <v>45726</v>
      </c>
      <c r="F108" t="s">
        <v>339</v>
      </c>
      <c r="H108" t="s">
        <v>215</v>
      </c>
      <c r="I108" t="s">
        <v>216</v>
      </c>
      <c r="J108" t="s">
        <v>217</v>
      </c>
      <c r="K108" t="s">
        <v>340</v>
      </c>
      <c r="L108" t="s">
        <v>22</v>
      </c>
      <c r="M108" s="3">
        <v>96697.41</v>
      </c>
      <c r="N108" s="3">
        <v>0</v>
      </c>
      <c r="P108" t="s">
        <v>23</v>
      </c>
    </row>
    <row r="109" spans="1:16">
      <c r="A109" t="s">
        <v>15</v>
      </c>
      <c r="B109" t="s">
        <v>16</v>
      </c>
      <c r="C109" s="2">
        <v>68507.289999999994</v>
      </c>
      <c r="D109" s="1">
        <v>45726</v>
      </c>
      <c r="E109" s="1">
        <v>45726</v>
      </c>
      <c r="F109" t="s">
        <v>339</v>
      </c>
      <c r="H109" t="s">
        <v>49</v>
      </c>
      <c r="I109" t="s">
        <v>50</v>
      </c>
      <c r="J109" t="s">
        <v>49</v>
      </c>
      <c r="K109" t="s">
        <v>341</v>
      </c>
      <c r="L109" t="s">
        <v>22</v>
      </c>
      <c r="M109" s="3">
        <v>75.290000000000006</v>
      </c>
      <c r="N109" s="3">
        <v>0</v>
      </c>
      <c r="P109" t="s">
        <v>23</v>
      </c>
    </row>
    <row r="110" spans="1:16">
      <c r="A110" t="s">
        <v>15</v>
      </c>
      <c r="B110" t="s">
        <v>16</v>
      </c>
      <c r="C110" s="2">
        <v>68507.289999999994</v>
      </c>
      <c r="D110" s="1">
        <v>45728</v>
      </c>
      <c r="E110" s="1">
        <v>45728</v>
      </c>
      <c r="F110" t="s">
        <v>62</v>
      </c>
      <c r="H110" t="s">
        <v>220</v>
      </c>
      <c r="I110" t="s">
        <v>64</v>
      </c>
      <c r="J110" t="s">
        <v>65</v>
      </c>
      <c r="K110" t="s">
        <v>342</v>
      </c>
      <c r="L110" t="s">
        <v>22</v>
      </c>
      <c r="M110" s="3">
        <v>0</v>
      </c>
      <c r="N110" s="3">
        <v>20573.13</v>
      </c>
      <c r="P110" t="s">
        <v>23</v>
      </c>
    </row>
    <row r="111" spans="1:16">
      <c r="A111" t="s">
        <v>15</v>
      </c>
      <c r="B111" t="s">
        <v>16</v>
      </c>
      <c r="C111" s="2">
        <v>68507.289999999994</v>
      </c>
      <c r="D111" s="1">
        <v>45732</v>
      </c>
      <c r="E111" s="1">
        <v>45732</v>
      </c>
      <c r="F111" t="s">
        <v>126</v>
      </c>
      <c r="H111" t="s">
        <v>127</v>
      </c>
      <c r="I111" t="s">
        <v>128</v>
      </c>
      <c r="J111" t="s">
        <v>129</v>
      </c>
      <c r="K111" t="s">
        <v>343</v>
      </c>
      <c r="L111" t="s">
        <v>22</v>
      </c>
      <c r="M111" s="3">
        <v>0</v>
      </c>
      <c r="N111" s="3">
        <v>389.16</v>
      </c>
      <c r="P111" t="s">
        <v>23</v>
      </c>
    </row>
    <row r="112" spans="1:16">
      <c r="A112" t="s">
        <v>15</v>
      </c>
      <c r="B112" t="s">
        <v>16</v>
      </c>
      <c r="C112" s="2">
        <v>68507.289999999994</v>
      </c>
      <c r="D112" s="1">
        <v>45732</v>
      </c>
      <c r="E112" s="1">
        <v>45732</v>
      </c>
      <c r="F112" t="s">
        <v>344</v>
      </c>
      <c r="H112" t="s">
        <v>43</v>
      </c>
      <c r="I112" t="s">
        <v>102</v>
      </c>
      <c r="J112" t="s">
        <v>103</v>
      </c>
      <c r="K112" t="s">
        <v>345</v>
      </c>
      <c r="L112" t="s">
        <v>47</v>
      </c>
      <c r="M112" s="3">
        <v>0</v>
      </c>
      <c r="N112" s="3">
        <v>3327.86</v>
      </c>
      <c r="P112" t="s">
        <v>23</v>
      </c>
    </row>
    <row r="113" spans="1:16">
      <c r="A113" t="s">
        <v>15</v>
      </c>
      <c r="B113" t="s">
        <v>16</v>
      </c>
      <c r="C113" s="2">
        <v>68507.289999999994</v>
      </c>
      <c r="D113" s="1">
        <v>45733</v>
      </c>
      <c r="E113" s="1">
        <v>45733</v>
      </c>
      <c r="F113" t="s">
        <v>346</v>
      </c>
      <c r="H113" t="s">
        <v>43</v>
      </c>
      <c r="I113" t="s">
        <v>74</v>
      </c>
      <c r="J113" t="s">
        <v>75</v>
      </c>
      <c r="K113" t="s">
        <v>347</v>
      </c>
      <c r="L113" t="s">
        <v>47</v>
      </c>
      <c r="M113" s="3">
        <v>0</v>
      </c>
      <c r="N113" s="3">
        <v>216.22</v>
      </c>
      <c r="P113" t="s">
        <v>23</v>
      </c>
    </row>
    <row r="114" spans="1:16">
      <c r="A114" t="s">
        <v>15</v>
      </c>
      <c r="B114" t="s">
        <v>16</v>
      </c>
      <c r="C114" s="2">
        <v>68507.289999999994</v>
      </c>
      <c r="D114" s="1">
        <v>45733</v>
      </c>
      <c r="E114" s="1">
        <v>45733</v>
      </c>
      <c r="F114" t="s">
        <v>348</v>
      </c>
      <c r="H114" t="s">
        <v>349</v>
      </c>
      <c r="I114" t="s">
        <v>350</v>
      </c>
      <c r="J114" t="s">
        <v>349</v>
      </c>
      <c r="K114" t="s">
        <v>351</v>
      </c>
      <c r="L114" t="s">
        <v>144</v>
      </c>
      <c r="M114" s="3">
        <v>831.72</v>
      </c>
      <c r="N114" s="3">
        <v>0</v>
      </c>
      <c r="P114" t="s">
        <v>23</v>
      </c>
    </row>
    <row r="115" spans="1:16">
      <c r="A115" t="s">
        <v>15</v>
      </c>
      <c r="B115" t="s">
        <v>16</v>
      </c>
      <c r="C115" s="2">
        <v>68507.289999999994</v>
      </c>
      <c r="D115" s="1">
        <v>45733</v>
      </c>
      <c r="E115" s="1">
        <v>45733</v>
      </c>
      <c r="F115" t="s">
        <v>348</v>
      </c>
      <c r="H115" t="s">
        <v>349</v>
      </c>
      <c r="I115" t="s">
        <v>38</v>
      </c>
      <c r="J115" t="s">
        <v>39</v>
      </c>
      <c r="K115" t="s">
        <v>352</v>
      </c>
      <c r="L115" t="s">
        <v>41</v>
      </c>
      <c r="M115" s="3">
        <v>0</v>
      </c>
      <c r="N115" s="3">
        <v>831.72</v>
      </c>
      <c r="P115" t="s">
        <v>23</v>
      </c>
    </row>
    <row r="116" spans="1:16">
      <c r="A116" t="s">
        <v>15</v>
      </c>
      <c r="B116" t="s">
        <v>16</v>
      </c>
      <c r="C116" s="2">
        <v>68507.289999999994</v>
      </c>
      <c r="D116" s="1">
        <v>45735</v>
      </c>
      <c r="E116" s="1">
        <v>45735</v>
      </c>
      <c r="F116" t="s">
        <v>353</v>
      </c>
      <c r="H116" t="s">
        <v>43</v>
      </c>
      <c r="I116" t="s">
        <v>184</v>
      </c>
      <c r="J116" t="s">
        <v>185</v>
      </c>
      <c r="K116" t="s">
        <v>354</v>
      </c>
      <c r="L116" t="s">
        <v>47</v>
      </c>
      <c r="M116" s="3">
        <v>0</v>
      </c>
      <c r="N116" s="3">
        <v>4192.8599999999997</v>
      </c>
      <c r="P116" t="s">
        <v>23</v>
      </c>
    </row>
    <row r="117" spans="1:16">
      <c r="A117" t="s">
        <v>15</v>
      </c>
      <c r="B117" t="s">
        <v>16</v>
      </c>
      <c r="C117" s="2">
        <v>68507.289999999994</v>
      </c>
      <c r="D117" s="1">
        <v>45735</v>
      </c>
      <c r="E117" s="1">
        <v>45735</v>
      </c>
      <c r="F117" t="s">
        <v>355</v>
      </c>
      <c r="H117" t="s">
        <v>43</v>
      </c>
      <c r="I117" t="s">
        <v>44</v>
      </c>
      <c r="J117" t="s">
        <v>45</v>
      </c>
      <c r="K117" t="s">
        <v>356</v>
      </c>
      <c r="L117" t="s">
        <v>47</v>
      </c>
      <c r="M117" s="3">
        <v>0</v>
      </c>
      <c r="N117" s="3">
        <v>5196.76</v>
      </c>
      <c r="P117" t="s">
        <v>23</v>
      </c>
    </row>
    <row r="118" spans="1:16">
      <c r="A118" t="s">
        <v>15</v>
      </c>
      <c r="B118" t="s">
        <v>16</v>
      </c>
      <c r="C118" s="2">
        <v>68507.289999999994</v>
      </c>
      <c r="D118" s="1">
        <v>45735</v>
      </c>
      <c r="E118" s="1">
        <v>45735</v>
      </c>
      <c r="F118" t="s">
        <v>357</v>
      </c>
      <c r="H118" t="s">
        <v>43</v>
      </c>
      <c r="I118" t="s">
        <v>172</v>
      </c>
      <c r="J118" t="s">
        <v>173</v>
      </c>
      <c r="K118" t="s">
        <v>358</v>
      </c>
      <c r="L118" t="s">
        <v>47</v>
      </c>
      <c r="M118" s="3">
        <v>0</v>
      </c>
      <c r="N118" s="3">
        <v>73.28</v>
      </c>
      <c r="P118" t="s">
        <v>23</v>
      </c>
    </row>
    <row r="119" spans="1:16">
      <c r="A119" t="s">
        <v>15</v>
      </c>
      <c r="B119" t="s">
        <v>16</v>
      </c>
      <c r="C119" s="2">
        <v>68507.289999999994</v>
      </c>
      <c r="D119" s="1">
        <v>45736</v>
      </c>
      <c r="E119" s="1">
        <v>45736</v>
      </c>
      <c r="F119" t="s">
        <v>119</v>
      </c>
      <c r="H119" t="s">
        <v>120</v>
      </c>
      <c r="I119" t="s">
        <v>121</v>
      </c>
      <c r="J119" t="s">
        <v>122</v>
      </c>
      <c r="K119" t="s">
        <v>359</v>
      </c>
      <c r="L119" t="s">
        <v>22</v>
      </c>
      <c r="M119" s="3">
        <v>0</v>
      </c>
      <c r="N119" s="3">
        <v>15074.64</v>
      </c>
      <c r="P119" t="s">
        <v>23</v>
      </c>
    </row>
    <row r="120" spans="1:16">
      <c r="A120" t="s">
        <v>15</v>
      </c>
      <c r="B120" t="s">
        <v>16</v>
      </c>
      <c r="C120" s="2">
        <v>68507.289999999994</v>
      </c>
      <c r="D120" s="1">
        <v>45736</v>
      </c>
      <c r="E120" s="1">
        <v>45736</v>
      </c>
      <c r="F120" t="s">
        <v>360</v>
      </c>
      <c r="H120" t="s">
        <v>43</v>
      </c>
      <c r="I120" t="s">
        <v>361</v>
      </c>
      <c r="J120" t="s">
        <v>362</v>
      </c>
      <c r="K120" t="s">
        <v>363</v>
      </c>
      <c r="L120" t="s">
        <v>47</v>
      </c>
      <c r="M120" s="3">
        <v>0</v>
      </c>
      <c r="N120" s="3">
        <v>91.53</v>
      </c>
      <c r="P120" t="s">
        <v>23</v>
      </c>
    </row>
    <row r="121" spans="1:16">
      <c r="A121" t="s">
        <v>15</v>
      </c>
      <c r="B121" t="s">
        <v>16</v>
      </c>
      <c r="C121" s="2">
        <v>68507.289999999994</v>
      </c>
      <c r="D121" s="1">
        <v>45736</v>
      </c>
      <c r="E121" s="1">
        <v>45736</v>
      </c>
      <c r="F121" t="s">
        <v>364</v>
      </c>
      <c r="H121" t="s">
        <v>43</v>
      </c>
      <c r="I121" t="s">
        <v>93</v>
      </c>
      <c r="J121" t="s">
        <v>94</v>
      </c>
      <c r="K121" t="s">
        <v>365</v>
      </c>
      <c r="L121" t="s">
        <v>47</v>
      </c>
      <c r="M121" s="3">
        <v>0</v>
      </c>
      <c r="N121" s="3">
        <v>660.86</v>
      </c>
      <c r="P121" t="s">
        <v>23</v>
      </c>
    </row>
    <row r="122" spans="1:16">
      <c r="A122" t="s">
        <v>15</v>
      </c>
      <c r="B122" t="s">
        <v>16</v>
      </c>
      <c r="C122" s="2">
        <v>68507.289999999994</v>
      </c>
      <c r="D122" s="1">
        <v>45736</v>
      </c>
      <c r="E122" s="1">
        <v>45736</v>
      </c>
      <c r="F122" t="s">
        <v>366</v>
      </c>
      <c r="H122" t="s">
        <v>43</v>
      </c>
      <c r="I122" t="s">
        <v>106</v>
      </c>
      <c r="J122" t="s">
        <v>107</v>
      </c>
      <c r="K122" t="s">
        <v>367</v>
      </c>
      <c r="L122" t="s">
        <v>47</v>
      </c>
      <c r="M122" s="3">
        <v>0</v>
      </c>
      <c r="N122" s="3">
        <v>1113.8699999999999</v>
      </c>
      <c r="P122" t="s">
        <v>23</v>
      </c>
    </row>
    <row r="123" spans="1:16">
      <c r="A123" t="s">
        <v>15</v>
      </c>
      <c r="B123" t="s">
        <v>16</v>
      </c>
      <c r="C123" s="2">
        <v>68507.289999999994</v>
      </c>
      <c r="D123" s="1">
        <v>45736</v>
      </c>
      <c r="E123" s="1">
        <v>45736</v>
      </c>
      <c r="F123" t="s">
        <v>368</v>
      </c>
      <c r="H123" t="s">
        <v>43</v>
      </c>
      <c r="I123" t="s">
        <v>369</v>
      </c>
      <c r="J123" t="s">
        <v>370</v>
      </c>
      <c r="K123" t="s">
        <v>371</v>
      </c>
      <c r="L123" t="s">
        <v>47</v>
      </c>
      <c r="M123" s="3">
        <v>0</v>
      </c>
      <c r="N123" s="3">
        <v>1317.9</v>
      </c>
      <c r="P123" t="s">
        <v>23</v>
      </c>
    </row>
    <row r="124" spans="1:16">
      <c r="A124" t="s">
        <v>15</v>
      </c>
      <c r="B124" t="s">
        <v>16</v>
      </c>
      <c r="C124" s="2">
        <v>68507.289999999994</v>
      </c>
      <c r="D124" s="1">
        <v>45736</v>
      </c>
      <c r="E124" s="1">
        <v>45736</v>
      </c>
      <c r="F124" t="s">
        <v>372</v>
      </c>
      <c r="H124" t="s">
        <v>43</v>
      </c>
      <c r="I124" t="s">
        <v>253</v>
      </c>
      <c r="J124" t="s">
        <v>254</v>
      </c>
      <c r="K124" t="s">
        <v>373</v>
      </c>
      <c r="L124" t="s">
        <v>47</v>
      </c>
      <c r="M124" s="3">
        <v>0</v>
      </c>
      <c r="N124" s="3">
        <v>2187.41</v>
      </c>
      <c r="P124" t="s">
        <v>23</v>
      </c>
    </row>
    <row r="125" spans="1:16">
      <c r="A125" t="s">
        <v>15</v>
      </c>
      <c r="B125" t="s">
        <v>16</v>
      </c>
      <c r="C125" s="2">
        <v>68507.289999999994</v>
      </c>
      <c r="D125" s="1">
        <v>45736</v>
      </c>
      <c r="E125" s="1">
        <v>45736</v>
      </c>
      <c r="F125" t="s">
        <v>374</v>
      </c>
      <c r="H125" t="s">
        <v>43</v>
      </c>
      <c r="I125" t="s">
        <v>375</v>
      </c>
      <c r="J125" t="s">
        <v>376</v>
      </c>
      <c r="K125" t="s">
        <v>377</v>
      </c>
      <c r="L125" t="s">
        <v>47</v>
      </c>
      <c r="M125" s="3">
        <v>0</v>
      </c>
      <c r="N125" s="3">
        <v>2205.0700000000002</v>
      </c>
      <c r="P125" t="s">
        <v>23</v>
      </c>
    </row>
    <row r="126" spans="1:16">
      <c r="A126" t="s">
        <v>15</v>
      </c>
      <c r="B126" t="s">
        <v>16</v>
      </c>
      <c r="C126" s="2">
        <v>68507.289999999994</v>
      </c>
      <c r="D126" s="1">
        <v>45736</v>
      </c>
      <c r="E126" s="1">
        <v>45736</v>
      </c>
      <c r="F126" t="s">
        <v>378</v>
      </c>
      <c r="H126" t="s">
        <v>43</v>
      </c>
      <c r="I126" t="s">
        <v>44</v>
      </c>
      <c r="J126" t="s">
        <v>45</v>
      </c>
      <c r="K126" t="s">
        <v>379</v>
      </c>
      <c r="L126" t="s">
        <v>47</v>
      </c>
      <c r="M126" s="3">
        <v>0</v>
      </c>
      <c r="N126" s="3">
        <v>2704.44</v>
      </c>
      <c r="P126" t="s">
        <v>23</v>
      </c>
    </row>
    <row r="127" spans="1:16">
      <c r="A127" t="s">
        <v>15</v>
      </c>
      <c r="B127" t="s">
        <v>16</v>
      </c>
      <c r="C127" s="2">
        <v>68507.289999999994</v>
      </c>
      <c r="D127" s="1">
        <v>45736</v>
      </c>
      <c r="E127" s="1">
        <v>45736</v>
      </c>
      <c r="H127" t="s">
        <v>380</v>
      </c>
      <c r="I127" t="s">
        <v>381</v>
      </c>
      <c r="J127" t="s">
        <v>382</v>
      </c>
      <c r="K127" t="s">
        <v>383</v>
      </c>
      <c r="L127" t="s">
        <v>22</v>
      </c>
      <c r="M127" s="3">
        <v>0.3</v>
      </c>
      <c r="N127" s="3">
        <v>0</v>
      </c>
      <c r="P127" t="s">
        <v>23</v>
      </c>
    </row>
    <row r="128" spans="1:16">
      <c r="A128" t="s">
        <v>15</v>
      </c>
      <c r="B128" t="s">
        <v>16</v>
      </c>
      <c r="C128" s="2">
        <v>68507.289999999994</v>
      </c>
      <c r="D128" s="1">
        <v>45737</v>
      </c>
      <c r="E128" s="1">
        <v>45737</v>
      </c>
      <c r="F128" t="s">
        <v>384</v>
      </c>
      <c r="H128" t="s">
        <v>385</v>
      </c>
      <c r="I128" t="s">
        <v>386</v>
      </c>
      <c r="J128" t="s">
        <v>387</v>
      </c>
      <c r="K128" t="s">
        <v>388</v>
      </c>
      <c r="L128" t="s">
        <v>144</v>
      </c>
      <c r="M128" s="3">
        <v>8426.2900000000009</v>
      </c>
      <c r="N128" s="3">
        <v>0</v>
      </c>
      <c r="P128" t="s">
        <v>23</v>
      </c>
    </row>
    <row r="129" spans="1:16">
      <c r="A129" t="s">
        <v>15</v>
      </c>
      <c r="B129" t="s">
        <v>16</v>
      </c>
      <c r="C129" s="2">
        <v>68507.289999999994</v>
      </c>
      <c r="D129" s="1">
        <v>45737</v>
      </c>
      <c r="E129" s="1">
        <v>45737</v>
      </c>
      <c r="F129" t="s">
        <v>67</v>
      </c>
      <c r="H129" t="s">
        <v>70</v>
      </c>
      <c r="I129" t="s">
        <v>69</v>
      </c>
      <c r="J129" t="s">
        <v>70</v>
      </c>
      <c r="K129" t="s">
        <v>389</v>
      </c>
      <c r="L129" t="s">
        <v>22</v>
      </c>
      <c r="M129" s="3">
        <v>486.61</v>
      </c>
      <c r="N129" s="3">
        <v>0</v>
      </c>
      <c r="P129" t="s">
        <v>23</v>
      </c>
    </row>
    <row r="130" spans="1:16">
      <c r="A130" t="s">
        <v>15</v>
      </c>
      <c r="B130" t="s">
        <v>16</v>
      </c>
      <c r="C130" s="2">
        <v>68507.289999999994</v>
      </c>
      <c r="D130" s="1">
        <v>45739</v>
      </c>
      <c r="E130" s="1">
        <v>45739</v>
      </c>
      <c r="F130" t="s">
        <v>126</v>
      </c>
      <c r="H130" t="s">
        <v>127</v>
      </c>
      <c r="I130" t="s">
        <v>128</v>
      </c>
      <c r="J130" t="s">
        <v>129</v>
      </c>
      <c r="K130" t="s">
        <v>390</v>
      </c>
      <c r="L130" t="s">
        <v>22</v>
      </c>
      <c r="M130" s="3">
        <v>0</v>
      </c>
      <c r="N130" s="3">
        <v>13604.54</v>
      </c>
      <c r="P130" t="s">
        <v>23</v>
      </c>
    </row>
    <row r="131" spans="1:16">
      <c r="A131" t="s">
        <v>15</v>
      </c>
      <c r="B131" t="s">
        <v>16</v>
      </c>
      <c r="C131" s="2">
        <v>68507.289999999994</v>
      </c>
      <c r="D131" s="1">
        <v>45740</v>
      </c>
      <c r="E131" s="1">
        <v>45740</v>
      </c>
      <c r="F131" t="s">
        <v>391</v>
      </c>
      <c r="H131" t="s">
        <v>385</v>
      </c>
      <c r="I131" t="s">
        <v>249</v>
      </c>
      <c r="J131" t="s">
        <v>250</v>
      </c>
      <c r="K131" t="s">
        <v>392</v>
      </c>
      <c r="L131" t="s">
        <v>144</v>
      </c>
      <c r="M131" s="3">
        <v>924.12</v>
      </c>
      <c r="N131" s="3">
        <v>0</v>
      </c>
      <c r="P131" t="s">
        <v>23</v>
      </c>
    </row>
    <row r="132" spans="1:16">
      <c r="A132" t="s">
        <v>15</v>
      </c>
      <c r="B132" t="s">
        <v>16</v>
      </c>
      <c r="C132" s="2">
        <v>68507.289999999994</v>
      </c>
      <c r="D132" s="1">
        <v>45747</v>
      </c>
      <c r="E132" s="1">
        <v>45747</v>
      </c>
      <c r="H132" t="s">
        <v>192</v>
      </c>
      <c r="I132" t="s">
        <v>193</v>
      </c>
      <c r="J132" t="s">
        <v>194</v>
      </c>
      <c r="K132" t="s">
        <v>393</v>
      </c>
      <c r="L132" t="s">
        <v>41</v>
      </c>
      <c r="M132" s="3">
        <v>200000</v>
      </c>
      <c r="N132" s="3">
        <v>0</v>
      </c>
      <c r="P132" t="s">
        <v>23</v>
      </c>
    </row>
    <row r="133" spans="1:16">
      <c r="A133" t="s">
        <v>15</v>
      </c>
      <c r="B133" t="s">
        <v>16</v>
      </c>
      <c r="C133" s="2">
        <v>68507.289999999994</v>
      </c>
      <c r="D133" s="1">
        <v>45747</v>
      </c>
      <c r="E133" s="1">
        <v>45747</v>
      </c>
      <c r="H133" t="s">
        <v>394</v>
      </c>
      <c r="I133" t="s">
        <v>197</v>
      </c>
      <c r="J133" t="s">
        <v>198</v>
      </c>
      <c r="K133" t="s">
        <v>395</v>
      </c>
      <c r="L133" t="s">
        <v>22</v>
      </c>
      <c r="M133" s="3">
        <v>0</v>
      </c>
      <c r="N133" s="3">
        <v>126.19</v>
      </c>
      <c r="P133" t="s">
        <v>23</v>
      </c>
    </row>
    <row r="134" spans="1:16">
      <c r="A134" t="s">
        <v>15</v>
      </c>
      <c r="B134" t="s">
        <v>16</v>
      </c>
      <c r="C134" s="2">
        <v>68507.289999999994</v>
      </c>
      <c r="D134" s="1">
        <v>45747</v>
      </c>
      <c r="E134" s="1">
        <v>45747</v>
      </c>
      <c r="F134" t="s">
        <v>396</v>
      </c>
      <c r="H134" t="s">
        <v>397</v>
      </c>
      <c r="I134" t="s">
        <v>59</v>
      </c>
      <c r="J134" t="s">
        <v>60</v>
      </c>
      <c r="K134" t="s">
        <v>398</v>
      </c>
      <c r="L134" t="s">
        <v>22</v>
      </c>
      <c r="M134" s="3">
        <v>0</v>
      </c>
      <c r="N134" s="3">
        <v>6745.29</v>
      </c>
      <c r="P134" t="s">
        <v>23</v>
      </c>
    </row>
    <row r="135" spans="1:16">
      <c r="A135" t="s">
        <v>15</v>
      </c>
      <c r="B135" t="s">
        <v>16</v>
      </c>
      <c r="C135" s="2">
        <v>68507.289999999994</v>
      </c>
      <c r="D135" s="1">
        <v>45747</v>
      </c>
      <c r="E135" s="1">
        <v>45747</v>
      </c>
      <c r="F135" t="s">
        <v>396</v>
      </c>
      <c r="H135" t="s">
        <v>399</v>
      </c>
      <c r="I135" t="s">
        <v>59</v>
      </c>
      <c r="J135" t="s">
        <v>60</v>
      </c>
      <c r="K135" t="s">
        <v>400</v>
      </c>
      <c r="L135" t="s">
        <v>22</v>
      </c>
      <c r="M135" s="3">
        <v>6745.29</v>
      </c>
      <c r="N135" s="3">
        <v>0</v>
      </c>
      <c r="P135" t="s">
        <v>23</v>
      </c>
    </row>
    <row r="136" spans="1:16">
      <c r="A136" t="s">
        <v>15</v>
      </c>
      <c r="B136" t="s">
        <v>16</v>
      </c>
      <c r="C136" s="2">
        <v>68507.289999999994</v>
      </c>
      <c r="D136" s="1">
        <v>45747</v>
      </c>
      <c r="E136" s="1">
        <v>45747</v>
      </c>
      <c r="F136" t="s">
        <v>401</v>
      </c>
      <c r="H136" t="s">
        <v>43</v>
      </c>
      <c r="I136" t="s">
        <v>74</v>
      </c>
      <c r="J136" t="s">
        <v>75</v>
      </c>
      <c r="K136" t="s">
        <v>402</v>
      </c>
      <c r="L136" t="s">
        <v>47</v>
      </c>
      <c r="M136" s="3">
        <v>0</v>
      </c>
      <c r="N136" s="3">
        <v>762.1</v>
      </c>
      <c r="P136" t="s">
        <v>23</v>
      </c>
    </row>
    <row r="137" spans="1:16">
      <c r="A137" t="s">
        <v>15</v>
      </c>
      <c r="B137" t="s">
        <v>16</v>
      </c>
      <c r="C137" s="2">
        <v>68507.289999999994</v>
      </c>
      <c r="D137" s="1">
        <v>45747</v>
      </c>
      <c r="E137" s="1">
        <v>45747</v>
      </c>
      <c r="H137" t="s">
        <v>403</v>
      </c>
      <c r="I137" t="s">
        <v>404</v>
      </c>
      <c r="J137" t="s">
        <v>403</v>
      </c>
      <c r="K137" t="s">
        <v>405</v>
      </c>
      <c r="L137" t="s">
        <v>406</v>
      </c>
      <c r="M137" s="3">
        <v>953.18</v>
      </c>
      <c r="N137" s="3">
        <v>0</v>
      </c>
      <c r="P137" t="s">
        <v>23</v>
      </c>
    </row>
    <row r="138" spans="1:16">
      <c r="A138" t="s">
        <v>15</v>
      </c>
      <c r="B138" t="s">
        <v>16</v>
      </c>
      <c r="C138" s="2">
        <v>68507.289999999994</v>
      </c>
      <c r="D138" s="1">
        <v>45748</v>
      </c>
      <c r="E138" s="1">
        <v>45748</v>
      </c>
      <c r="F138" t="s">
        <v>407</v>
      </c>
      <c r="H138" t="s">
        <v>43</v>
      </c>
      <c r="I138" t="s">
        <v>150</v>
      </c>
      <c r="J138" t="s">
        <v>151</v>
      </c>
      <c r="K138" t="s">
        <v>408</v>
      </c>
      <c r="L138" t="s">
        <v>47</v>
      </c>
      <c r="M138" s="3">
        <v>0</v>
      </c>
      <c r="N138" s="3">
        <v>146.63999999999999</v>
      </c>
      <c r="P138" t="s">
        <v>23</v>
      </c>
    </row>
    <row r="139" spans="1:16">
      <c r="A139" t="s">
        <v>15</v>
      </c>
      <c r="B139" t="s">
        <v>16</v>
      </c>
      <c r="C139" s="2">
        <v>68507.289999999994</v>
      </c>
      <c r="D139" s="1">
        <v>45748</v>
      </c>
      <c r="E139" s="1">
        <v>45748</v>
      </c>
      <c r="F139" t="s">
        <v>409</v>
      </c>
      <c r="H139" t="s">
        <v>43</v>
      </c>
      <c r="I139" t="s">
        <v>375</v>
      </c>
      <c r="J139" t="s">
        <v>376</v>
      </c>
      <c r="K139" t="s">
        <v>410</v>
      </c>
      <c r="L139" t="s">
        <v>47</v>
      </c>
      <c r="M139" s="3">
        <v>0</v>
      </c>
      <c r="N139" s="3">
        <v>252.63</v>
      </c>
      <c r="P139" t="s">
        <v>23</v>
      </c>
    </row>
    <row r="140" spans="1:16">
      <c r="A140" t="s">
        <v>15</v>
      </c>
      <c r="B140" t="s">
        <v>16</v>
      </c>
      <c r="C140" s="2">
        <v>68507.289999999994</v>
      </c>
      <c r="D140" s="1">
        <v>45748</v>
      </c>
      <c r="E140" s="1">
        <v>45748</v>
      </c>
      <c r="F140" t="s">
        <v>411</v>
      </c>
      <c r="H140" t="s">
        <v>43</v>
      </c>
      <c r="I140" t="s">
        <v>412</v>
      </c>
      <c r="J140" t="s">
        <v>413</v>
      </c>
      <c r="K140" t="s">
        <v>414</v>
      </c>
      <c r="L140" t="s">
        <v>47</v>
      </c>
      <c r="M140" s="3">
        <v>0</v>
      </c>
      <c r="N140" s="3">
        <v>2317.6799999999998</v>
      </c>
      <c r="P140" t="s">
        <v>23</v>
      </c>
    </row>
    <row r="141" spans="1:16">
      <c r="A141" t="s">
        <v>15</v>
      </c>
      <c r="B141" t="s">
        <v>16</v>
      </c>
      <c r="C141" s="2">
        <v>68507.289999999994</v>
      </c>
      <c r="D141" s="1">
        <v>45748</v>
      </c>
      <c r="E141" s="1">
        <v>45748</v>
      </c>
      <c r="F141" t="s">
        <v>415</v>
      </c>
      <c r="H141" t="s">
        <v>43</v>
      </c>
      <c r="I141" t="s">
        <v>243</v>
      </c>
      <c r="J141" t="s">
        <v>244</v>
      </c>
      <c r="K141" t="s">
        <v>416</v>
      </c>
      <c r="L141" t="s">
        <v>47</v>
      </c>
      <c r="M141" s="3">
        <v>0</v>
      </c>
      <c r="N141" s="3">
        <v>4288.26</v>
      </c>
      <c r="P141" t="s">
        <v>23</v>
      </c>
    </row>
    <row r="142" spans="1:16">
      <c r="A142" t="s">
        <v>15</v>
      </c>
      <c r="B142" t="s">
        <v>16</v>
      </c>
      <c r="C142" s="2">
        <v>68507.289999999994</v>
      </c>
      <c r="D142" s="1">
        <v>45748</v>
      </c>
      <c r="E142" s="1">
        <v>45748</v>
      </c>
      <c r="F142" t="s">
        <v>417</v>
      </c>
      <c r="H142" t="s">
        <v>43</v>
      </c>
      <c r="I142" t="s">
        <v>44</v>
      </c>
      <c r="J142" t="s">
        <v>45</v>
      </c>
      <c r="K142" t="s">
        <v>418</v>
      </c>
      <c r="L142" t="s">
        <v>47</v>
      </c>
      <c r="M142" s="3">
        <v>0</v>
      </c>
      <c r="N142" s="3">
        <v>907.15</v>
      </c>
      <c r="P142" t="s">
        <v>23</v>
      </c>
    </row>
    <row r="143" spans="1:16">
      <c r="A143" t="s">
        <v>15</v>
      </c>
      <c r="B143" t="s">
        <v>16</v>
      </c>
      <c r="C143" s="2">
        <v>68507.289999999994</v>
      </c>
      <c r="D143" s="1">
        <v>45748</v>
      </c>
      <c r="E143" s="1">
        <v>45748</v>
      </c>
      <c r="F143" t="s">
        <v>419</v>
      </c>
      <c r="H143" t="s">
        <v>420</v>
      </c>
      <c r="I143" t="s">
        <v>34</v>
      </c>
      <c r="J143" t="s">
        <v>35</v>
      </c>
      <c r="K143" t="s">
        <v>421</v>
      </c>
      <c r="L143" t="s">
        <v>22</v>
      </c>
      <c r="M143" s="3">
        <v>0</v>
      </c>
      <c r="N143" s="3">
        <v>56384.67</v>
      </c>
      <c r="P143" t="s">
        <v>23</v>
      </c>
    </row>
    <row r="144" spans="1:16">
      <c r="A144" t="s">
        <v>15</v>
      </c>
      <c r="B144" t="s">
        <v>16</v>
      </c>
      <c r="C144" s="2">
        <v>68507.289999999994</v>
      </c>
      <c r="D144" s="1">
        <v>45748</v>
      </c>
      <c r="E144" s="1">
        <v>45748</v>
      </c>
      <c r="F144" t="s">
        <v>422</v>
      </c>
      <c r="H144" t="s">
        <v>43</v>
      </c>
      <c r="I144" t="s">
        <v>93</v>
      </c>
      <c r="J144" t="s">
        <v>94</v>
      </c>
      <c r="K144" t="s">
        <v>423</v>
      </c>
      <c r="L144" t="s">
        <v>47</v>
      </c>
      <c r="M144" s="3">
        <v>0</v>
      </c>
      <c r="N144" s="3">
        <v>994.87</v>
      </c>
      <c r="P144" t="s">
        <v>23</v>
      </c>
    </row>
    <row r="145" spans="1:16">
      <c r="A145" t="s">
        <v>15</v>
      </c>
      <c r="B145" t="s">
        <v>16</v>
      </c>
      <c r="C145" s="2">
        <v>68507.289999999994</v>
      </c>
      <c r="D145" s="1">
        <v>45748</v>
      </c>
      <c r="E145" s="1">
        <v>45748</v>
      </c>
      <c r="F145" t="s">
        <v>424</v>
      </c>
      <c r="H145" t="s">
        <v>43</v>
      </c>
      <c r="I145" t="s">
        <v>425</v>
      </c>
      <c r="J145" t="s">
        <v>426</v>
      </c>
      <c r="K145" t="s">
        <v>427</v>
      </c>
      <c r="L145" t="s">
        <v>47</v>
      </c>
      <c r="M145" s="3">
        <v>0</v>
      </c>
      <c r="N145" s="3">
        <v>431.85</v>
      </c>
      <c r="P145" t="s">
        <v>23</v>
      </c>
    </row>
    <row r="146" spans="1:16">
      <c r="A146" t="s">
        <v>15</v>
      </c>
      <c r="B146" t="s">
        <v>16</v>
      </c>
      <c r="C146" s="2">
        <v>68507.289999999994</v>
      </c>
      <c r="D146" s="1">
        <v>45749</v>
      </c>
      <c r="E146" s="1">
        <v>45749</v>
      </c>
      <c r="F146" t="s">
        <v>24</v>
      </c>
      <c r="H146" t="s">
        <v>18</v>
      </c>
      <c r="I146" t="s">
        <v>25</v>
      </c>
      <c r="J146" t="s">
        <v>26</v>
      </c>
      <c r="K146" t="s">
        <v>428</v>
      </c>
      <c r="L146" t="s">
        <v>22</v>
      </c>
      <c r="M146" s="3">
        <v>0</v>
      </c>
      <c r="N146" s="3">
        <v>2262.9299999999998</v>
      </c>
      <c r="P146" t="s">
        <v>23</v>
      </c>
    </row>
    <row r="147" spans="1:16">
      <c r="A147" t="s">
        <v>15</v>
      </c>
      <c r="B147" t="s">
        <v>16</v>
      </c>
      <c r="C147" s="2">
        <v>68507.289999999994</v>
      </c>
      <c r="D147" s="1">
        <v>45749</v>
      </c>
      <c r="E147" s="1">
        <v>45749</v>
      </c>
      <c r="F147" t="s">
        <v>28</v>
      </c>
      <c r="H147" t="s">
        <v>18</v>
      </c>
      <c r="I147" t="s">
        <v>29</v>
      </c>
      <c r="J147" t="s">
        <v>30</v>
      </c>
      <c r="K147" t="s">
        <v>429</v>
      </c>
      <c r="L147" t="s">
        <v>22</v>
      </c>
      <c r="M147" s="3">
        <v>0</v>
      </c>
      <c r="N147" s="3">
        <v>6523.22</v>
      </c>
      <c r="P147" t="s">
        <v>23</v>
      </c>
    </row>
    <row r="148" spans="1:16">
      <c r="A148" t="s">
        <v>15</v>
      </c>
      <c r="B148" t="s">
        <v>16</v>
      </c>
      <c r="C148" s="2">
        <v>68507.289999999994</v>
      </c>
      <c r="D148" s="1">
        <v>45749</v>
      </c>
      <c r="E148" s="1">
        <v>45749</v>
      </c>
      <c r="F148" t="s">
        <v>430</v>
      </c>
      <c r="H148" t="s">
        <v>43</v>
      </c>
      <c r="I148" t="s">
        <v>243</v>
      </c>
      <c r="J148" t="s">
        <v>244</v>
      </c>
      <c r="K148" t="s">
        <v>431</v>
      </c>
      <c r="L148" t="s">
        <v>47</v>
      </c>
      <c r="M148" s="3">
        <v>0</v>
      </c>
      <c r="N148" s="3">
        <v>7360.1</v>
      </c>
      <c r="P148" t="s">
        <v>23</v>
      </c>
    </row>
    <row r="149" spans="1:16">
      <c r="A149" t="s">
        <v>15</v>
      </c>
      <c r="B149" t="s">
        <v>16</v>
      </c>
      <c r="C149" s="2">
        <v>68507.289999999994</v>
      </c>
      <c r="D149" s="1">
        <v>45749</v>
      </c>
      <c r="E149" s="1">
        <v>45749</v>
      </c>
      <c r="F149" t="s">
        <v>432</v>
      </c>
      <c r="H149" t="s">
        <v>43</v>
      </c>
      <c r="I149" t="s">
        <v>184</v>
      </c>
      <c r="J149" t="s">
        <v>185</v>
      </c>
      <c r="K149" t="s">
        <v>433</v>
      </c>
      <c r="L149" t="s">
        <v>47</v>
      </c>
      <c r="M149" s="3">
        <v>0</v>
      </c>
      <c r="N149" s="3">
        <v>6203.97</v>
      </c>
      <c r="P149" t="s">
        <v>23</v>
      </c>
    </row>
    <row r="150" spans="1:16">
      <c r="A150" t="s">
        <v>15</v>
      </c>
      <c r="B150" t="s">
        <v>16</v>
      </c>
      <c r="C150" s="2">
        <v>68507.289999999994</v>
      </c>
      <c r="D150" s="1">
        <v>45749</v>
      </c>
      <c r="E150" s="1">
        <v>45749</v>
      </c>
      <c r="F150" t="s">
        <v>434</v>
      </c>
      <c r="H150" t="s">
        <v>43</v>
      </c>
      <c r="I150" t="s">
        <v>110</v>
      </c>
      <c r="J150" t="s">
        <v>111</v>
      </c>
      <c r="K150" t="s">
        <v>435</v>
      </c>
      <c r="L150" t="s">
        <v>47</v>
      </c>
      <c r="M150" s="3">
        <v>0</v>
      </c>
      <c r="N150" s="3">
        <v>6316.41</v>
      </c>
      <c r="P150" t="s">
        <v>23</v>
      </c>
    </row>
    <row r="151" spans="1:16">
      <c r="A151" t="s">
        <v>15</v>
      </c>
      <c r="B151" t="s">
        <v>16</v>
      </c>
      <c r="C151" s="2">
        <v>68507.289999999994</v>
      </c>
      <c r="D151" s="1">
        <v>45749</v>
      </c>
      <c r="E151" s="1">
        <v>45749</v>
      </c>
      <c r="F151" t="s">
        <v>17</v>
      </c>
      <c r="H151" t="s">
        <v>18</v>
      </c>
      <c r="I151" t="s">
        <v>19</v>
      </c>
      <c r="J151" t="s">
        <v>20</v>
      </c>
      <c r="K151" t="s">
        <v>436</v>
      </c>
      <c r="L151" t="s">
        <v>22</v>
      </c>
      <c r="M151" s="3">
        <v>0</v>
      </c>
      <c r="N151" s="3">
        <v>3.64</v>
      </c>
      <c r="P151" t="s">
        <v>23</v>
      </c>
    </row>
    <row r="152" spans="1:16">
      <c r="A152" t="s">
        <v>15</v>
      </c>
      <c r="B152" t="s">
        <v>16</v>
      </c>
      <c r="C152" s="2">
        <v>68507.289999999994</v>
      </c>
      <c r="D152" s="1">
        <v>45749</v>
      </c>
      <c r="E152" s="1">
        <v>45749</v>
      </c>
      <c r="F152" t="s">
        <v>62</v>
      </c>
      <c r="H152" t="s">
        <v>220</v>
      </c>
      <c r="I152" t="s">
        <v>64</v>
      </c>
      <c r="J152" t="s">
        <v>65</v>
      </c>
      <c r="K152" t="s">
        <v>437</v>
      </c>
      <c r="L152" t="s">
        <v>22</v>
      </c>
      <c r="M152" s="3">
        <v>0</v>
      </c>
      <c r="N152" s="3">
        <v>20525.939999999999</v>
      </c>
      <c r="P152" t="s">
        <v>23</v>
      </c>
    </row>
    <row r="153" spans="1:16">
      <c r="A153" t="s">
        <v>15</v>
      </c>
      <c r="B153" t="s">
        <v>16</v>
      </c>
      <c r="C153" s="2">
        <v>68507.289999999994</v>
      </c>
      <c r="D153" s="1">
        <v>45762</v>
      </c>
      <c r="E153" s="1">
        <v>45762</v>
      </c>
      <c r="F153" t="s">
        <v>438</v>
      </c>
      <c r="H153" t="s">
        <v>43</v>
      </c>
      <c r="I153" t="s">
        <v>439</v>
      </c>
      <c r="J153" t="s">
        <v>440</v>
      </c>
      <c r="K153" t="s">
        <v>441</v>
      </c>
      <c r="L153" t="s">
        <v>47</v>
      </c>
      <c r="M153" s="3">
        <v>0</v>
      </c>
      <c r="N153" s="3">
        <v>123.04</v>
      </c>
      <c r="P153" t="s">
        <v>23</v>
      </c>
    </row>
    <row r="154" spans="1:16">
      <c r="A154" t="s">
        <v>15</v>
      </c>
      <c r="B154" t="s">
        <v>16</v>
      </c>
      <c r="C154" s="2">
        <v>68507.289999999994</v>
      </c>
      <c r="D154" s="1">
        <v>45762</v>
      </c>
      <c r="E154" s="1">
        <v>45762</v>
      </c>
      <c r="F154" t="s">
        <v>442</v>
      </c>
      <c r="H154" t="s">
        <v>43</v>
      </c>
      <c r="I154" t="s">
        <v>443</v>
      </c>
      <c r="J154" t="s">
        <v>444</v>
      </c>
      <c r="K154" t="s">
        <v>445</v>
      </c>
      <c r="L154" t="s">
        <v>47</v>
      </c>
      <c r="M154" s="3">
        <v>0</v>
      </c>
      <c r="N154" s="3">
        <v>191.87</v>
      </c>
      <c r="P154" t="s">
        <v>23</v>
      </c>
    </row>
    <row r="155" spans="1:16">
      <c r="A155" t="s">
        <v>15</v>
      </c>
      <c r="B155" t="s">
        <v>16</v>
      </c>
      <c r="C155" s="2">
        <v>68507.289999999994</v>
      </c>
      <c r="D155" s="1">
        <v>45762</v>
      </c>
      <c r="E155" s="1">
        <v>45762</v>
      </c>
      <c r="F155" t="s">
        <v>446</v>
      </c>
      <c r="H155" t="s">
        <v>43</v>
      </c>
      <c r="I155" t="s">
        <v>172</v>
      </c>
      <c r="J155" t="s">
        <v>173</v>
      </c>
      <c r="K155" t="s">
        <v>447</v>
      </c>
      <c r="L155" t="s">
        <v>47</v>
      </c>
      <c r="M155" s="3">
        <v>0</v>
      </c>
      <c r="N155" s="3">
        <v>279.95</v>
      </c>
      <c r="P155" t="s">
        <v>23</v>
      </c>
    </row>
    <row r="156" spans="1:16">
      <c r="A156" t="s">
        <v>15</v>
      </c>
      <c r="B156" t="s">
        <v>16</v>
      </c>
      <c r="C156" s="2">
        <v>68507.289999999994</v>
      </c>
      <c r="D156" s="1">
        <v>45762</v>
      </c>
      <c r="E156" s="1">
        <v>45762</v>
      </c>
      <c r="F156" t="s">
        <v>448</v>
      </c>
      <c r="H156" t="s">
        <v>43</v>
      </c>
      <c r="I156" t="s">
        <v>449</v>
      </c>
      <c r="J156" t="s">
        <v>450</v>
      </c>
      <c r="K156" t="s">
        <v>451</v>
      </c>
      <c r="L156" t="s">
        <v>47</v>
      </c>
      <c r="M156" s="3">
        <v>0</v>
      </c>
      <c r="N156" s="3">
        <v>447.7</v>
      </c>
      <c r="P156" t="s">
        <v>23</v>
      </c>
    </row>
    <row r="157" spans="1:16">
      <c r="A157" t="s">
        <v>15</v>
      </c>
      <c r="B157" t="s">
        <v>16</v>
      </c>
      <c r="C157" s="2">
        <v>68507.289999999994</v>
      </c>
      <c r="D157" s="1">
        <v>45762</v>
      </c>
      <c r="E157" s="1">
        <v>45762</v>
      </c>
      <c r="F157" t="s">
        <v>452</v>
      </c>
      <c r="H157" t="s">
        <v>43</v>
      </c>
      <c r="I157" t="s">
        <v>453</v>
      </c>
      <c r="J157" t="s">
        <v>454</v>
      </c>
      <c r="K157" t="s">
        <v>455</v>
      </c>
      <c r="L157" t="s">
        <v>47</v>
      </c>
      <c r="M157" s="3">
        <v>0</v>
      </c>
      <c r="N157" s="3">
        <v>542.01</v>
      </c>
      <c r="P157" t="s">
        <v>23</v>
      </c>
    </row>
    <row r="158" spans="1:16">
      <c r="A158" t="s">
        <v>15</v>
      </c>
      <c r="B158" t="s">
        <v>16</v>
      </c>
      <c r="C158" s="2">
        <v>68507.289999999994</v>
      </c>
      <c r="D158" s="1">
        <v>45762</v>
      </c>
      <c r="E158" s="1">
        <v>45762</v>
      </c>
      <c r="F158" t="s">
        <v>456</v>
      </c>
      <c r="H158" t="s">
        <v>43</v>
      </c>
      <c r="I158" t="s">
        <v>158</v>
      </c>
      <c r="J158" t="s">
        <v>159</v>
      </c>
      <c r="K158" t="s">
        <v>457</v>
      </c>
      <c r="L158" t="s">
        <v>47</v>
      </c>
      <c r="M158" s="3">
        <v>0</v>
      </c>
      <c r="N158" s="3">
        <v>607.04999999999995</v>
      </c>
      <c r="P158" t="s">
        <v>23</v>
      </c>
    </row>
    <row r="159" spans="1:16">
      <c r="A159" t="s">
        <v>15</v>
      </c>
      <c r="B159" t="s">
        <v>16</v>
      </c>
      <c r="C159" s="2">
        <v>68507.289999999994</v>
      </c>
      <c r="D159" s="1">
        <v>45762</v>
      </c>
      <c r="E159" s="1">
        <v>45762</v>
      </c>
      <c r="F159" t="s">
        <v>458</v>
      </c>
      <c r="H159" t="s">
        <v>43</v>
      </c>
      <c r="I159" t="s">
        <v>459</v>
      </c>
      <c r="J159" t="s">
        <v>460</v>
      </c>
      <c r="K159" t="s">
        <v>461</v>
      </c>
      <c r="L159" t="s">
        <v>47</v>
      </c>
      <c r="M159" s="3">
        <v>0</v>
      </c>
      <c r="N159" s="3">
        <v>636.86</v>
      </c>
      <c r="P159" t="s">
        <v>23</v>
      </c>
    </row>
    <row r="160" spans="1:16">
      <c r="A160" t="s">
        <v>15</v>
      </c>
      <c r="B160" t="s">
        <v>16</v>
      </c>
      <c r="C160" s="2">
        <v>68507.289999999994</v>
      </c>
      <c r="D160" s="1">
        <v>45762</v>
      </c>
      <c r="E160" s="1">
        <v>45762</v>
      </c>
      <c r="F160" t="s">
        <v>462</v>
      </c>
      <c r="H160" t="s">
        <v>43</v>
      </c>
      <c r="I160" t="s">
        <v>463</v>
      </c>
      <c r="J160" t="s">
        <v>464</v>
      </c>
      <c r="K160" t="s">
        <v>465</v>
      </c>
      <c r="L160" t="s">
        <v>47</v>
      </c>
      <c r="M160" s="3">
        <v>0</v>
      </c>
      <c r="N160" s="3">
        <v>914.58</v>
      </c>
      <c r="P160" t="s">
        <v>23</v>
      </c>
    </row>
    <row r="161" spans="1:16">
      <c r="A161" t="s">
        <v>15</v>
      </c>
      <c r="B161" t="s">
        <v>16</v>
      </c>
      <c r="C161" s="2">
        <v>68507.289999999994</v>
      </c>
      <c r="D161" s="1">
        <v>45762</v>
      </c>
      <c r="E161" s="1">
        <v>45762</v>
      </c>
      <c r="F161" t="s">
        <v>466</v>
      </c>
      <c r="H161" t="s">
        <v>43</v>
      </c>
      <c r="I161" t="s">
        <v>467</v>
      </c>
      <c r="J161" t="s">
        <v>468</v>
      </c>
      <c r="K161" t="s">
        <v>469</v>
      </c>
      <c r="L161" t="s">
        <v>47</v>
      </c>
      <c r="M161" s="3">
        <v>0</v>
      </c>
      <c r="N161" s="3">
        <v>1487.8</v>
      </c>
      <c r="P161" t="s">
        <v>23</v>
      </c>
    </row>
    <row r="162" spans="1:16">
      <c r="A162" t="s">
        <v>15</v>
      </c>
      <c r="B162" t="s">
        <v>16</v>
      </c>
      <c r="C162" s="2">
        <v>68507.289999999994</v>
      </c>
      <c r="D162" s="1">
        <v>45762</v>
      </c>
      <c r="E162" s="1">
        <v>45762</v>
      </c>
      <c r="F162" t="s">
        <v>470</v>
      </c>
      <c r="H162" t="s">
        <v>43</v>
      </c>
      <c r="I162" t="s">
        <v>106</v>
      </c>
      <c r="J162" t="s">
        <v>107</v>
      </c>
      <c r="K162" t="s">
        <v>471</v>
      </c>
      <c r="L162" t="s">
        <v>47</v>
      </c>
      <c r="M162" s="3">
        <v>0</v>
      </c>
      <c r="N162" s="3">
        <v>1778.05</v>
      </c>
      <c r="P162" t="s">
        <v>23</v>
      </c>
    </row>
    <row r="163" spans="1:16">
      <c r="A163" t="s">
        <v>15</v>
      </c>
      <c r="B163" t="s">
        <v>16</v>
      </c>
      <c r="C163" s="2">
        <v>68507.289999999994</v>
      </c>
      <c r="D163" s="1">
        <v>45762</v>
      </c>
      <c r="E163" s="1">
        <v>45762</v>
      </c>
      <c r="F163" t="s">
        <v>472</v>
      </c>
      <c r="H163" t="s">
        <v>101</v>
      </c>
      <c r="I163" t="s">
        <v>102</v>
      </c>
      <c r="J163" t="s">
        <v>103</v>
      </c>
      <c r="K163" t="s">
        <v>473</v>
      </c>
      <c r="L163" t="s">
        <v>47</v>
      </c>
      <c r="M163" s="3">
        <v>0</v>
      </c>
      <c r="N163" s="3">
        <v>3839.57</v>
      </c>
      <c r="P163" t="s">
        <v>23</v>
      </c>
    </row>
    <row r="164" spans="1:16">
      <c r="A164" t="s">
        <v>15</v>
      </c>
      <c r="B164" t="s">
        <v>16</v>
      </c>
      <c r="C164" s="2">
        <v>68507.289999999994</v>
      </c>
      <c r="D164" s="1">
        <v>45762</v>
      </c>
      <c r="E164" s="1">
        <v>45762</v>
      </c>
      <c r="F164" t="s">
        <v>474</v>
      </c>
      <c r="H164" t="s">
        <v>43</v>
      </c>
      <c r="I164" t="s">
        <v>253</v>
      </c>
      <c r="J164" t="s">
        <v>254</v>
      </c>
      <c r="K164" t="s">
        <v>475</v>
      </c>
      <c r="L164" t="s">
        <v>47</v>
      </c>
      <c r="M164" s="3">
        <v>0</v>
      </c>
      <c r="N164" s="3">
        <v>2184.37</v>
      </c>
      <c r="P164" t="s">
        <v>23</v>
      </c>
    </row>
    <row r="165" spans="1:16">
      <c r="A165" t="s">
        <v>15</v>
      </c>
      <c r="B165" t="s">
        <v>16</v>
      </c>
      <c r="C165" s="2">
        <v>68507.289999999994</v>
      </c>
      <c r="D165" s="1">
        <v>45762</v>
      </c>
      <c r="E165" s="1">
        <v>45762</v>
      </c>
      <c r="F165" t="s">
        <v>476</v>
      </c>
      <c r="H165" t="s">
        <v>43</v>
      </c>
      <c r="I165" t="s">
        <v>253</v>
      </c>
      <c r="J165" t="s">
        <v>254</v>
      </c>
      <c r="K165" t="s">
        <v>477</v>
      </c>
      <c r="L165" t="s">
        <v>47</v>
      </c>
      <c r="M165" s="3">
        <v>0</v>
      </c>
      <c r="N165" s="3">
        <v>2210.09</v>
      </c>
      <c r="P165" t="s">
        <v>23</v>
      </c>
    </row>
    <row r="166" spans="1:16">
      <c r="A166" t="s">
        <v>15</v>
      </c>
      <c r="B166" t="s">
        <v>16</v>
      </c>
      <c r="C166" s="2">
        <v>68507.289999999994</v>
      </c>
      <c r="D166" s="1">
        <v>45762</v>
      </c>
      <c r="E166" s="1">
        <v>45762</v>
      </c>
      <c r="F166" t="s">
        <v>478</v>
      </c>
      <c r="H166" t="s">
        <v>43</v>
      </c>
      <c r="I166" t="s">
        <v>184</v>
      </c>
      <c r="J166" t="s">
        <v>185</v>
      </c>
      <c r="K166" t="s">
        <v>479</v>
      </c>
      <c r="L166" t="s">
        <v>47</v>
      </c>
      <c r="M166" s="3">
        <v>0</v>
      </c>
      <c r="N166" s="3">
        <v>9763.5</v>
      </c>
      <c r="P166" t="s">
        <v>23</v>
      </c>
    </row>
    <row r="167" spans="1:16">
      <c r="A167" t="s">
        <v>15</v>
      </c>
      <c r="B167" t="s">
        <v>16</v>
      </c>
      <c r="C167" s="2">
        <v>68507.289999999994</v>
      </c>
      <c r="D167" s="1">
        <v>45762</v>
      </c>
      <c r="E167" s="1">
        <v>45762</v>
      </c>
      <c r="F167" t="s">
        <v>480</v>
      </c>
      <c r="H167" t="s">
        <v>43</v>
      </c>
      <c r="I167" t="s">
        <v>425</v>
      </c>
      <c r="J167" t="s">
        <v>426</v>
      </c>
      <c r="K167" t="s">
        <v>481</v>
      </c>
      <c r="L167" t="s">
        <v>47</v>
      </c>
      <c r="M167" s="3">
        <v>0</v>
      </c>
      <c r="N167" s="3">
        <v>196.37</v>
      </c>
      <c r="P167" t="s">
        <v>23</v>
      </c>
    </row>
    <row r="168" spans="1:16">
      <c r="A168" t="s">
        <v>15</v>
      </c>
      <c r="B168" t="s">
        <v>16</v>
      </c>
      <c r="C168" s="2">
        <v>68507.289999999994</v>
      </c>
      <c r="D168" s="1">
        <v>45763</v>
      </c>
      <c r="E168" s="1">
        <v>45763</v>
      </c>
      <c r="F168" t="s">
        <v>482</v>
      </c>
      <c r="H168" t="s">
        <v>483</v>
      </c>
      <c r="I168" t="s">
        <v>386</v>
      </c>
      <c r="J168" t="s">
        <v>387</v>
      </c>
      <c r="K168" t="s">
        <v>484</v>
      </c>
      <c r="L168" t="s">
        <v>144</v>
      </c>
      <c r="M168" s="3">
        <v>6335.14</v>
      </c>
      <c r="N168" s="3">
        <v>0</v>
      </c>
      <c r="P168" t="s">
        <v>23</v>
      </c>
    </row>
    <row r="169" spans="1:16">
      <c r="A169" t="s">
        <v>15</v>
      </c>
      <c r="B169" t="s">
        <v>16</v>
      </c>
      <c r="C169" s="2">
        <v>68507.289999999994</v>
      </c>
      <c r="D169" s="1">
        <v>45767</v>
      </c>
      <c r="E169" s="1">
        <v>45767</v>
      </c>
      <c r="F169" t="s">
        <v>485</v>
      </c>
      <c r="H169" t="s">
        <v>101</v>
      </c>
      <c r="I169" t="s">
        <v>74</v>
      </c>
      <c r="J169" t="s">
        <v>75</v>
      </c>
      <c r="K169" t="s">
        <v>486</v>
      </c>
      <c r="L169" t="s">
        <v>47</v>
      </c>
      <c r="M169" s="3">
        <v>0</v>
      </c>
      <c r="N169" s="3">
        <v>213.17</v>
      </c>
      <c r="P169" t="s">
        <v>23</v>
      </c>
    </row>
    <row r="170" spans="1:16">
      <c r="A170" t="s">
        <v>15</v>
      </c>
      <c r="B170" t="s">
        <v>16</v>
      </c>
      <c r="C170" s="2">
        <v>68507.289999999994</v>
      </c>
      <c r="D170" s="1">
        <v>45768</v>
      </c>
      <c r="E170" s="1">
        <v>45768</v>
      </c>
      <c r="F170" t="s">
        <v>487</v>
      </c>
      <c r="H170" t="s">
        <v>223</v>
      </c>
      <c r="I170" t="s">
        <v>224</v>
      </c>
      <c r="J170" t="s">
        <v>225</v>
      </c>
      <c r="K170" t="s">
        <v>488</v>
      </c>
      <c r="L170" t="s">
        <v>144</v>
      </c>
      <c r="M170" s="3">
        <v>1648.97</v>
      </c>
      <c r="N170" s="3">
        <v>0</v>
      </c>
      <c r="P170" t="s">
        <v>23</v>
      </c>
    </row>
    <row r="171" spans="1:16">
      <c r="A171" t="s">
        <v>15</v>
      </c>
      <c r="B171" t="s">
        <v>16</v>
      </c>
      <c r="C171" s="2">
        <v>68507.289999999994</v>
      </c>
      <c r="D171" s="1">
        <v>45770</v>
      </c>
      <c r="E171" s="1">
        <v>45770</v>
      </c>
      <c r="F171" t="s">
        <v>126</v>
      </c>
      <c r="H171" t="s">
        <v>127</v>
      </c>
      <c r="I171" t="s">
        <v>128</v>
      </c>
      <c r="J171" t="s">
        <v>129</v>
      </c>
      <c r="K171" t="s">
        <v>489</v>
      </c>
      <c r="L171" t="s">
        <v>22</v>
      </c>
      <c r="M171" s="3">
        <v>0</v>
      </c>
      <c r="N171" s="3">
        <v>839.69</v>
      </c>
      <c r="P171" t="s">
        <v>23</v>
      </c>
    </row>
    <row r="172" spans="1:16">
      <c r="A172" t="s">
        <v>15</v>
      </c>
      <c r="B172" t="s">
        <v>16</v>
      </c>
      <c r="C172" s="2">
        <v>68507.289999999994</v>
      </c>
      <c r="D172" s="1">
        <v>45770</v>
      </c>
      <c r="E172" s="1">
        <v>45770</v>
      </c>
      <c r="F172" t="s">
        <v>126</v>
      </c>
      <c r="H172" t="s">
        <v>127</v>
      </c>
      <c r="I172" t="s">
        <v>128</v>
      </c>
      <c r="J172" t="s">
        <v>129</v>
      </c>
      <c r="K172" t="s">
        <v>490</v>
      </c>
      <c r="L172" t="s">
        <v>22</v>
      </c>
      <c r="M172" s="3">
        <v>0</v>
      </c>
      <c r="N172" s="3">
        <v>14074.43</v>
      </c>
      <c r="P172" t="s">
        <v>23</v>
      </c>
    </row>
    <row r="173" spans="1:16">
      <c r="A173" t="s">
        <v>15</v>
      </c>
      <c r="B173" t="s">
        <v>16</v>
      </c>
      <c r="C173" s="2">
        <v>68507.289999999994</v>
      </c>
      <c r="D173" s="1">
        <v>45772</v>
      </c>
      <c r="E173" s="1">
        <v>45772</v>
      </c>
      <c r="F173" t="s">
        <v>119</v>
      </c>
      <c r="H173" t="s">
        <v>491</v>
      </c>
      <c r="I173" t="s">
        <v>121</v>
      </c>
      <c r="J173" t="s">
        <v>122</v>
      </c>
      <c r="K173" t="s">
        <v>492</v>
      </c>
      <c r="L173" t="s">
        <v>22</v>
      </c>
      <c r="M173" s="3">
        <v>0</v>
      </c>
      <c r="N173" s="3">
        <v>16442.14</v>
      </c>
      <c r="P173" t="s">
        <v>23</v>
      </c>
    </row>
    <row r="174" spans="1:16">
      <c r="A174" t="s">
        <v>15</v>
      </c>
      <c r="B174" t="s">
        <v>16</v>
      </c>
      <c r="C174" s="2">
        <v>68507.289999999994</v>
      </c>
      <c r="D174" s="1">
        <v>45774</v>
      </c>
      <c r="E174" s="1">
        <v>45774</v>
      </c>
      <c r="F174" t="s">
        <v>493</v>
      </c>
      <c r="H174" t="s">
        <v>101</v>
      </c>
      <c r="I174" t="s">
        <v>74</v>
      </c>
      <c r="J174" t="s">
        <v>75</v>
      </c>
      <c r="K174" t="s">
        <v>494</v>
      </c>
      <c r="L174" t="s">
        <v>47</v>
      </c>
      <c r="M174" s="3">
        <v>0</v>
      </c>
      <c r="N174" s="3">
        <v>142.94999999999999</v>
      </c>
      <c r="P174" t="s">
        <v>23</v>
      </c>
    </row>
    <row r="175" spans="1:16">
      <c r="A175" t="s">
        <v>15</v>
      </c>
      <c r="B175" t="s">
        <v>16</v>
      </c>
      <c r="C175" s="2">
        <v>68507.289999999994</v>
      </c>
      <c r="D175" s="1">
        <v>45774</v>
      </c>
      <c r="E175" s="1">
        <v>45774</v>
      </c>
      <c r="F175" t="s">
        <v>495</v>
      </c>
      <c r="H175" t="s">
        <v>43</v>
      </c>
      <c r="I175" t="s">
        <v>496</v>
      </c>
      <c r="J175" t="s">
        <v>497</v>
      </c>
      <c r="K175" t="s">
        <v>498</v>
      </c>
      <c r="L175" t="s">
        <v>47</v>
      </c>
      <c r="M175" s="3">
        <v>0</v>
      </c>
      <c r="N175" s="3">
        <v>6207.09</v>
      </c>
      <c r="P175" t="s">
        <v>23</v>
      </c>
    </row>
    <row r="176" spans="1:16">
      <c r="A176" t="s">
        <v>15</v>
      </c>
      <c r="B176" t="s">
        <v>16</v>
      </c>
      <c r="C176" s="2">
        <v>68507.289999999994</v>
      </c>
      <c r="D176" s="1">
        <v>45775</v>
      </c>
      <c r="E176" s="1">
        <v>45775</v>
      </c>
      <c r="F176" t="s">
        <v>499</v>
      </c>
      <c r="H176" t="s">
        <v>500</v>
      </c>
      <c r="I176" t="s">
        <v>59</v>
      </c>
      <c r="J176" t="s">
        <v>60</v>
      </c>
      <c r="K176" t="s">
        <v>501</v>
      </c>
      <c r="L176" t="s">
        <v>22</v>
      </c>
      <c r="M176" s="3">
        <v>0</v>
      </c>
      <c r="N176" s="3">
        <v>3915.28</v>
      </c>
      <c r="P176" t="s">
        <v>23</v>
      </c>
    </row>
    <row r="177" spans="1:16">
      <c r="A177" t="s">
        <v>15</v>
      </c>
      <c r="B177" t="s">
        <v>16</v>
      </c>
      <c r="C177" s="2">
        <v>68507.289999999994</v>
      </c>
      <c r="D177" s="1">
        <v>45775</v>
      </c>
      <c r="E177" s="1">
        <v>45775</v>
      </c>
      <c r="F177" t="s">
        <v>67</v>
      </c>
      <c r="H177" t="s">
        <v>70</v>
      </c>
      <c r="I177" t="s">
        <v>69</v>
      </c>
      <c r="J177" t="s">
        <v>70</v>
      </c>
      <c r="K177" t="s">
        <v>502</v>
      </c>
      <c r="L177" t="s">
        <v>22</v>
      </c>
      <c r="M177" s="3">
        <v>204.9</v>
      </c>
      <c r="N177" s="3">
        <v>0</v>
      </c>
      <c r="P177" t="s">
        <v>23</v>
      </c>
    </row>
    <row r="178" spans="1:16">
      <c r="A178" t="s">
        <v>15</v>
      </c>
      <c r="B178" t="s">
        <v>16</v>
      </c>
      <c r="C178" s="2">
        <v>68507.289999999994</v>
      </c>
      <c r="D178" s="1">
        <v>45776</v>
      </c>
      <c r="E178" s="1">
        <v>45776</v>
      </c>
      <c r="F178" t="s">
        <v>503</v>
      </c>
      <c r="H178" t="s">
        <v>500</v>
      </c>
      <c r="I178" t="s">
        <v>59</v>
      </c>
      <c r="J178" t="s">
        <v>60</v>
      </c>
      <c r="K178" t="s">
        <v>504</v>
      </c>
      <c r="L178" t="s">
        <v>22</v>
      </c>
      <c r="M178" s="3">
        <v>0</v>
      </c>
      <c r="N178" s="3">
        <v>6922.16</v>
      </c>
      <c r="P178" t="s">
        <v>23</v>
      </c>
    </row>
    <row r="179" spans="1:16">
      <c r="A179" t="s">
        <v>15</v>
      </c>
      <c r="B179" t="s">
        <v>16</v>
      </c>
      <c r="C179" s="2">
        <v>68507.289999999994</v>
      </c>
      <c r="D179" s="1">
        <v>45776</v>
      </c>
      <c r="E179" s="1">
        <v>45776</v>
      </c>
      <c r="F179" t="s">
        <v>505</v>
      </c>
      <c r="H179" t="s">
        <v>192</v>
      </c>
      <c r="I179" t="s">
        <v>38</v>
      </c>
      <c r="J179" t="s">
        <v>39</v>
      </c>
      <c r="K179" t="s">
        <v>506</v>
      </c>
      <c r="L179" t="s">
        <v>41</v>
      </c>
      <c r="M179" s="3">
        <v>79335.91</v>
      </c>
      <c r="N179" s="3">
        <v>0</v>
      </c>
      <c r="P179" t="s">
        <v>23</v>
      </c>
    </row>
    <row r="180" spans="1:16">
      <c r="A180" t="s">
        <v>15</v>
      </c>
      <c r="B180" t="s">
        <v>16</v>
      </c>
      <c r="C180" s="2">
        <v>68507.289999999994</v>
      </c>
      <c r="D180" s="1">
        <v>45776</v>
      </c>
      <c r="E180" s="1">
        <v>45776</v>
      </c>
      <c r="F180" t="s">
        <v>507</v>
      </c>
      <c r="H180" t="s">
        <v>43</v>
      </c>
      <c r="I180" t="s">
        <v>508</v>
      </c>
      <c r="J180" t="s">
        <v>509</v>
      </c>
      <c r="K180" t="s">
        <v>510</v>
      </c>
      <c r="L180" t="s">
        <v>47</v>
      </c>
      <c r="M180" s="3">
        <v>0</v>
      </c>
      <c r="N180" s="3">
        <v>2963.84</v>
      </c>
      <c r="P180" t="s">
        <v>23</v>
      </c>
    </row>
    <row r="181" spans="1:16">
      <c r="A181" t="s">
        <v>15</v>
      </c>
      <c r="B181" t="s">
        <v>16</v>
      </c>
      <c r="C181" s="2">
        <v>68507.289999999994</v>
      </c>
      <c r="D181" s="1">
        <v>45777</v>
      </c>
      <c r="E181" s="1">
        <v>45777</v>
      </c>
      <c r="F181" t="s">
        <v>511</v>
      </c>
      <c r="H181" t="s">
        <v>420</v>
      </c>
      <c r="I181" t="s">
        <v>34</v>
      </c>
      <c r="J181" t="s">
        <v>35</v>
      </c>
      <c r="K181" t="s">
        <v>512</v>
      </c>
      <c r="L181" t="s">
        <v>22</v>
      </c>
      <c r="M181" s="3">
        <v>0</v>
      </c>
      <c r="N181" s="3">
        <v>54069.27</v>
      </c>
      <c r="P181" t="s">
        <v>23</v>
      </c>
    </row>
    <row r="182" spans="1:16">
      <c r="A182" t="s">
        <v>15</v>
      </c>
      <c r="B182" t="s">
        <v>16</v>
      </c>
      <c r="C182" s="2">
        <v>68507.289999999994</v>
      </c>
      <c r="D182" s="1">
        <v>45777</v>
      </c>
      <c r="E182" s="1">
        <v>45777</v>
      </c>
      <c r="F182" t="s">
        <v>513</v>
      </c>
      <c r="H182" t="s">
        <v>43</v>
      </c>
      <c r="I182" t="s">
        <v>150</v>
      </c>
      <c r="J182" t="s">
        <v>151</v>
      </c>
      <c r="K182" t="s">
        <v>514</v>
      </c>
      <c r="L182" t="s">
        <v>47</v>
      </c>
      <c r="M182" s="3">
        <v>0</v>
      </c>
      <c r="N182" s="3">
        <v>147.75</v>
      </c>
      <c r="P182" t="s">
        <v>23</v>
      </c>
    </row>
    <row r="183" spans="1:16">
      <c r="A183" t="s">
        <v>15</v>
      </c>
      <c r="B183" t="s">
        <v>16</v>
      </c>
      <c r="C183" s="2">
        <v>68507.289999999994</v>
      </c>
      <c r="D183" s="1">
        <v>45777</v>
      </c>
      <c r="E183" s="1">
        <v>45777</v>
      </c>
      <c r="F183" t="s">
        <v>515</v>
      </c>
      <c r="H183" t="s">
        <v>43</v>
      </c>
      <c r="I183" t="s">
        <v>516</v>
      </c>
      <c r="J183" t="s">
        <v>517</v>
      </c>
      <c r="K183" t="s">
        <v>518</v>
      </c>
      <c r="L183" t="s">
        <v>47</v>
      </c>
      <c r="M183" s="3">
        <v>0</v>
      </c>
      <c r="N183" s="3">
        <v>708.37</v>
      </c>
      <c r="P183" t="s">
        <v>23</v>
      </c>
    </row>
    <row r="184" spans="1:16">
      <c r="A184" t="s">
        <v>15</v>
      </c>
      <c r="B184" t="s">
        <v>16</v>
      </c>
      <c r="C184" s="2">
        <v>68507.289999999994</v>
      </c>
      <c r="D184" s="1">
        <v>45777</v>
      </c>
      <c r="E184" s="1">
        <v>45777</v>
      </c>
      <c r="F184" t="s">
        <v>519</v>
      </c>
      <c r="H184" t="s">
        <v>43</v>
      </c>
      <c r="I184" t="s">
        <v>44</v>
      </c>
      <c r="J184" t="s">
        <v>45</v>
      </c>
      <c r="K184" t="s">
        <v>520</v>
      </c>
      <c r="L184" t="s">
        <v>47</v>
      </c>
      <c r="M184" s="3">
        <v>0</v>
      </c>
      <c r="N184" s="3">
        <v>1784.44</v>
      </c>
      <c r="P184" t="s">
        <v>23</v>
      </c>
    </row>
    <row r="185" spans="1:16">
      <c r="A185" t="s">
        <v>15</v>
      </c>
      <c r="B185" t="s">
        <v>16</v>
      </c>
      <c r="C185" s="2">
        <v>68507.289999999994</v>
      </c>
      <c r="D185" s="1">
        <v>45777</v>
      </c>
      <c r="E185" s="1">
        <v>45777</v>
      </c>
      <c r="F185" t="s">
        <v>521</v>
      </c>
      <c r="H185" t="s">
        <v>43</v>
      </c>
      <c r="I185" t="s">
        <v>522</v>
      </c>
      <c r="J185" t="s">
        <v>523</v>
      </c>
      <c r="K185" t="s">
        <v>524</v>
      </c>
      <c r="L185" t="s">
        <v>47</v>
      </c>
      <c r="M185" s="3">
        <v>0</v>
      </c>
      <c r="N185" s="3">
        <v>5904.87</v>
      </c>
      <c r="P185" t="s">
        <v>23</v>
      </c>
    </row>
    <row r="186" spans="1:16">
      <c r="A186" t="s">
        <v>15</v>
      </c>
      <c r="B186" t="s">
        <v>16</v>
      </c>
      <c r="C186" s="2">
        <v>68507.289999999994</v>
      </c>
      <c r="D186" s="1">
        <v>45777</v>
      </c>
      <c r="E186" s="1">
        <v>45777</v>
      </c>
      <c r="F186" t="s">
        <v>525</v>
      </c>
      <c r="H186" t="s">
        <v>43</v>
      </c>
      <c r="I186" t="s">
        <v>184</v>
      </c>
      <c r="J186" t="s">
        <v>185</v>
      </c>
      <c r="K186" t="s">
        <v>526</v>
      </c>
      <c r="L186" t="s">
        <v>47</v>
      </c>
      <c r="M186" s="3">
        <v>0</v>
      </c>
      <c r="N186" s="3">
        <v>979.38</v>
      </c>
      <c r="P186" t="s">
        <v>23</v>
      </c>
    </row>
    <row r="187" spans="1:16">
      <c r="A187" t="s">
        <v>15</v>
      </c>
      <c r="B187" t="s">
        <v>16</v>
      </c>
      <c r="C187" s="2">
        <v>68507.289999999994</v>
      </c>
      <c r="D187" s="1">
        <v>45777</v>
      </c>
      <c r="E187" s="1">
        <v>45777</v>
      </c>
      <c r="F187" t="s">
        <v>527</v>
      </c>
      <c r="H187" t="s">
        <v>43</v>
      </c>
      <c r="I187" t="s">
        <v>528</v>
      </c>
      <c r="J187" t="s">
        <v>529</v>
      </c>
      <c r="K187" t="s">
        <v>530</v>
      </c>
      <c r="L187" t="s">
        <v>47</v>
      </c>
      <c r="M187" s="3">
        <v>0</v>
      </c>
      <c r="N187" s="3">
        <v>210.34</v>
      </c>
      <c r="P187" t="s">
        <v>23</v>
      </c>
    </row>
    <row r="188" spans="1:16">
      <c r="A188" t="s">
        <v>15</v>
      </c>
      <c r="B188" t="s">
        <v>16</v>
      </c>
      <c r="C188" s="2">
        <v>68507.289999999994</v>
      </c>
      <c r="D188" s="1">
        <v>45777</v>
      </c>
      <c r="E188" s="1">
        <v>45777</v>
      </c>
      <c r="H188" t="s">
        <v>200</v>
      </c>
      <c r="I188" t="s">
        <v>197</v>
      </c>
      <c r="J188" t="s">
        <v>198</v>
      </c>
      <c r="K188" t="s">
        <v>531</v>
      </c>
      <c r="L188" t="s">
        <v>41</v>
      </c>
      <c r="M188" s="3">
        <v>0</v>
      </c>
      <c r="N188" s="3">
        <v>171.59</v>
      </c>
      <c r="P188" t="s">
        <v>23</v>
      </c>
    </row>
    <row r="189" spans="1:16">
      <c r="A189" t="s">
        <v>15</v>
      </c>
      <c r="B189" t="s">
        <v>16</v>
      </c>
      <c r="C189" s="2">
        <v>68507.289999999994</v>
      </c>
      <c r="D189" s="1">
        <v>45779</v>
      </c>
      <c r="E189" s="1">
        <v>45779</v>
      </c>
      <c r="F189" t="s">
        <v>17</v>
      </c>
      <c r="H189" t="s">
        <v>18</v>
      </c>
      <c r="I189" t="s">
        <v>19</v>
      </c>
      <c r="J189" t="s">
        <v>20</v>
      </c>
      <c r="K189" t="s">
        <v>532</v>
      </c>
      <c r="L189" t="s">
        <v>22</v>
      </c>
      <c r="M189" s="3">
        <v>0</v>
      </c>
      <c r="N189" s="3">
        <v>3.73</v>
      </c>
      <c r="P189" t="s">
        <v>23</v>
      </c>
    </row>
    <row r="190" spans="1:16">
      <c r="A190" t="s">
        <v>15</v>
      </c>
      <c r="B190" t="s">
        <v>16</v>
      </c>
      <c r="C190" s="2">
        <v>68507.289999999994</v>
      </c>
      <c r="D190" s="1">
        <v>45779</v>
      </c>
      <c r="E190" s="1">
        <v>45779</v>
      </c>
      <c r="F190" t="s">
        <v>24</v>
      </c>
      <c r="H190" t="s">
        <v>18</v>
      </c>
      <c r="I190" t="s">
        <v>25</v>
      </c>
      <c r="J190" t="s">
        <v>26</v>
      </c>
      <c r="K190" t="s">
        <v>533</v>
      </c>
      <c r="L190" t="s">
        <v>22</v>
      </c>
      <c r="M190" s="3">
        <v>0</v>
      </c>
      <c r="N190" s="3">
        <v>407.91</v>
      </c>
      <c r="P190" t="s">
        <v>23</v>
      </c>
    </row>
    <row r="191" spans="1:16">
      <c r="A191" t="s">
        <v>15</v>
      </c>
      <c r="B191" t="s">
        <v>16</v>
      </c>
      <c r="C191" s="2">
        <v>68507.289999999994</v>
      </c>
      <c r="D191" s="1">
        <v>45779</v>
      </c>
      <c r="E191" s="1">
        <v>45779</v>
      </c>
      <c r="F191" t="s">
        <v>28</v>
      </c>
      <c r="H191" t="s">
        <v>18</v>
      </c>
      <c r="I191" t="s">
        <v>29</v>
      </c>
      <c r="J191" t="s">
        <v>30</v>
      </c>
      <c r="K191" t="s">
        <v>534</v>
      </c>
      <c r="L191" t="s">
        <v>22</v>
      </c>
      <c r="M191" s="3">
        <v>0</v>
      </c>
      <c r="N191" s="3">
        <v>2297.96</v>
      </c>
      <c r="P191" t="s">
        <v>23</v>
      </c>
    </row>
    <row r="192" spans="1:16">
      <c r="A192" t="s">
        <v>15</v>
      </c>
      <c r="B192" t="s">
        <v>16</v>
      </c>
      <c r="C192" s="2">
        <v>68507.289999999994</v>
      </c>
      <c r="D192" s="1">
        <v>45781</v>
      </c>
      <c r="E192" s="1">
        <v>45781</v>
      </c>
      <c r="F192" t="s">
        <v>535</v>
      </c>
      <c r="H192" t="s">
        <v>228</v>
      </c>
      <c r="I192" t="s">
        <v>216</v>
      </c>
      <c r="J192" t="s">
        <v>217</v>
      </c>
      <c r="K192" t="s">
        <v>536</v>
      </c>
      <c r="L192" t="s">
        <v>22</v>
      </c>
      <c r="M192" s="3">
        <v>0</v>
      </c>
      <c r="N192" s="3">
        <v>47039.29</v>
      </c>
      <c r="P192" t="s">
        <v>23</v>
      </c>
    </row>
    <row r="193" spans="1:16">
      <c r="A193" t="s">
        <v>15</v>
      </c>
      <c r="B193" t="s">
        <v>16</v>
      </c>
      <c r="C193" s="2">
        <v>68507.289999999994</v>
      </c>
      <c r="D193" s="1">
        <v>45781</v>
      </c>
      <c r="E193" s="1">
        <v>45781</v>
      </c>
      <c r="F193" t="s">
        <v>537</v>
      </c>
      <c r="H193" t="s">
        <v>43</v>
      </c>
      <c r="I193" t="s">
        <v>538</v>
      </c>
      <c r="J193" t="s">
        <v>539</v>
      </c>
      <c r="K193" t="s">
        <v>540</v>
      </c>
      <c r="L193" t="s">
        <v>47</v>
      </c>
      <c r="M193" s="3">
        <v>0</v>
      </c>
      <c r="N193" s="3">
        <v>833.98</v>
      </c>
      <c r="P193" t="s">
        <v>23</v>
      </c>
    </row>
    <row r="194" spans="1:16">
      <c r="A194" t="s">
        <v>15</v>
      </c>
      <c r="B194" t="s">
        <v>16</v>
      </c>
      <c r="C194" s="2">
        <v>68507.289999999994</v>
      </c>
      <c r="D194" s="1">
        <v>45785</v>
      </c>
      <c r="E194" s="1">
        <v>45785</v>
      </c>
      <c r="F194" t="s">
        <v>62</v>
      </c>
      <c r="H194" t="s">
        <v>220</v>
      </c>
      <c r="I194" t="s">
        <v>64</v>
      </c>
      <c r="J194" t="s">
        <v>65</v>
      </c>
      <c r="K194" t="s">
        <v>541</v>
      </c>
      <c r="L194" t="s">
        <v>22</v>
      </c>
      <c r="M194" s="3">
        <v>0</v>
      </c>
      <c r="N194" s="3">
        <v>21449.37</v>
      </c>
      <c r="P194" t="s">
        <v>23</v>
      </c>
    </row>
    <row r="195" spans="1:16">
      <c r="A195" t="s">
        <v>15</v>
      </c>
      <c r="B195" t="s">
        <v>16</v>
      </c>
      <c r="C195" s="2">
        <v>68507.289999999994</v>
      </c>
      <c r="D195" s="1">
        <v>45785</v>
      </c>
      <c r="E195" s="1">
        <v>45785</v>
      </c>
      <c r="F195" t="s">
        <v>542</v>
      </c>
      <c r="H195" t="s">
        <v>43</v>
      </c>
      <c r="I195" t="s">
        <v>74</v>
      </c>
      <c r="J195" t="s">
        <v>75</v>
      </c>
      <c r="K195" t="s">
        <v>543</v>
      </c>
      <c r="L195" t="s">
        <v>47</v>
      </c>
      <c r="M195" s="3">
        <v>0</v>
      </c>
      <c r="N195" s="3">
        <v>330.44</v>
      </c>
      <c r="P195" t="s">
        <v>23</v>
      </c>
    </row>
    <row r="196" spans="1:16">
      <c r="A196" t="s">
        <v>15</v>
      </c>
      <c r="B196" t="s">
        <v>16</v>
      </c>
      <c r="C196" s="2">
        <v>68507.289999999994</v>
      </c>
      <c r="D196" s="1">
        <v>45789</v>
      </c>
      <c r="E196" s="1">
        <v>45789</v>
      </c>
      <c r="H196" t="s">
        <v>544</v>
      </c>
      <c r="I196" t="s">
        <v>545</v>
      </c>
      <c r="J196" t="s">
        <v>546</v>
      </c>
      <c r="K196" t="s">
        <v>547</v>
      </c>
      <c r="L196" t="s">
        <v>41</v>
      </c>
      <c r="M196" s="3">
        <v>0</v>
      </c>
      <c r="N196" s="3">
        <v>2000.79</v>
      </c>
      <c r="P196" t="s">
        <v>23</v>
      </c>
    </row>
    <row r="197" spans="1:16">
      <c r="A197" t="s">
        <v>15</v>
      </c>
      <c r="B197" t="s">
        <v>16</v>
      </c>
      <c r="C197" s="2">
        <v>68507.289999999994</v>
      </c>
      <c r="D197" s="1">
        <v>45789</v>
      </c>
      <c r="E197" s="1">
        <v>45789</v>
      </c>
      <c r="F197" t="s">
        <v>548</v>
      </c>
      <c r="H197" t="s">
        <v>549</v>
      </c>
      <c r="I197" t="s">
        <v>197</v>
      </c>
      <c r="J197" t="s">
        <v>198</v>
      </c>
      <c r="K197" t="s">
        <v>550</v>
      </c>
      <c r="L197" t="s">
        <v>22</v>
      </c>
      <c r="M197" s="3">
        <v>33.32</v>
      </c>
      <c r="N197" s="3">
        <v>0</v>
      </c>
      <c r="P197" t="s">
        <v>23</v>
      </c>
    </row>
    <row r="198" spans="1:16">
      <c r="A198" t="s">
        <v>15</v>
      </c>
      <c r="B198" t="s">
        <v>16</v>
      </c>
      <c r="C198" s="2">
        <v>68507.289999999994</v>
      </c>
      <c r="D198" s="1">
        <v>45792</v>
      </c>
      <c r="E198" s="1">
        <v>45792</v>
      </c>
      <c r="F198" t="s">
        <v>551</v>
      </c>
      <c r="H198" t="s">
        <v>43</v>
      </c>
      <c r="I198" t="s">
        <v>253</v>
      </c>
      <c r="J198" t="s">
        <v>254</v>
      </c>
      <c r="K198" t="s">
        <v>552</v>
      </c>
      <c r="L198" t="s">
        <v>47</v>
      </c>
      <c r="M198" s="3">
        <v>0</v>
      </c>
      <c r="N198" s="3">
        <v>2271.1999999999998</v>
      </c>
      <c r="P198" t="s">
        <v>23</v>
      </c>
    </row>
    <row r="199" spans="1:16">
      <c r="A199" t="s">
        <v>15</v>
      </c>
      <c r="B199" t="s">
        <v>16</v>
      </c>
      <c r="C199" s="2">
        <v>68507.289999999994</v>
      </c>
      <c r="D199" s="1">
        <v>45792</v>
      </c>
      <c r="E199" s="1">
        <v>45792</v>
      </c>
      <c r="F199" t="s">
        <v>553</v>
      </c>
      <c r="H199" t="s">
        <v>43</v>
      </c>
      <c r="I199" t="s">
        <v>106</v>
      </c>
      <c r="J199" t="s">
        <v>107</v>
      </c>
      <c r="K199" t="s">
        <v>554</v>
      </c>
      <c r="L199" t="s">
        <v>47</v>
      </c>
      <c r="M199" s="3">
        <v>0</v>
      </c>
      <c r="N199" s="3">
        <v>4039.55</v>
      </c>
      <c r="P199" t="s">
        <v>23</v>
      </c>
    </row>
    <row r="200" spans="1:16">
      <c r="A200" t="s">
        <v>15</v>
      </c>
      <c r="B200" t="s">
        <v>16</v>
      </c>
      <c r="C200" s="2">
        <v>68507.289999999994</v>
      </c>
      <c r="D200" s="1">
        <v>45792</v>
      </c>
      <c r="E200" s="1">
        <v>45792</v>
      </c>
      <c r="F200" t="s">
        <v>555</v>
      </c>
      <c r="H200" t="s">
        <v>43</v>
      </c>
      <c r="I200" t="s">
        <v>184</v>
      </c>
      <c r="J200" t="s">
        <v>185</v>
      </c>
      <c r="K200" t="s">
        <v>556</v>
      </c>
      <c r="L200" t="s">
        <v>47</v>
      </c>
      <c r="M200" s="3">
        <v>0</v>
      </c>
      <c r="N200" s="3">
        <v>1562.07</v>
      </c>
      <c r="P200" t="s">
        <v>23</v>
      </c>
    </row>
    <row r="201" spans="1:16">
      <c r="A201" t="s">
        <v>15</v>
      </c>
      <c r="B201" t="s">
        <v>16</v>
      </c>
      <c r="C201" s="2">
        <v>68507.289999999994</v>
      </c>
      <c r="D201" s="1">
        <v>45792</v>
      </c>
      <c r="E201" s="1">
        <v>45792</v>
      </c>
      <c r="F201" t="s">
        <v>557</v>
      </c>
      <c r="H201" t="s">
        <v>43</v>
      </c>
      <c r="I201" t="s">
        <v>412</v>
      </c>
      <c r="J201" t="s">
        <v>413</v>
      </c>
      <c r="K201" t="s">
        <v>558</v>
      </c>
      <c r="L201" t="s">
        <v>47</v>
      </c>
      <c r="M201" s="3">
        <v>0</v>
      </c>
      <c r="N201" s="3">
        <v>740.4</v>
      </c>
      <c r="P201" t="s">
        <v>23</v>
      </c>
    </row>
    <row r="202" spans="1:16">
      <c r="A202" t="s">
        <v>15</v>
      </c>
      <c r="B202" t="s">
        <v>16</v>
      </c>
      <c r="C202" s="2">
        <v>68507.289999999994</v>
      </c>
      <c r="D202" s="1">
        <v>45792</v>
      </c>
      <c r="E202" s="1">
        <v>45792</v>
      </c>
      <c r="F202" t="s">
        <v>559</v>
      </c>
      <c r="H202" t="s">
        <v>43</v>
      </c>
      <c r="I202" t="s">
        <v>172</v>
      </c>
      <c r="J202" t="s">
        <v>173</v>
      </c>
      <c r="K202" t="s">
        <v>560</v>
      </c>
      <c r="L202" t="s">
        <v>47</v>
      </c>
      <c r="M202" s="3">
        <v>0</v>
      </c>
      <c r="N202" s="3">
        <v>612.42999999999995</v>
      </c>
      <c r="P202" t="s">
        <v>23</v>
      </c>
    </row>
    <row r="203" spans="1:16">
      <c r="A203" t="s">
        <v>15</v>
      </c>
      <c r="B203" t="s">
        <v>16</v>
      </c>
      <c r="C203" s="2">
        <v>68507.289999999994</v>
      </c>
      <c r="D203" s="1">
        <v>45792</v>
      </c>
      <c r="E203" s="1">
        <v>45792</v>
      </c>
      <c r="F203" t="s">
        <v>561</v>
      </c>
      <c r="H203" t="s">
        <v>43</v>
      </c>
      <c r="I203" t="s">
        <v>562</v>
      </c>
      <c r="J203" t="s">
        <v>563</v>
      </c>
      <c r="K203" t="s">
        <v>564</v>
      </c>
      <c r="L203" t="s">
        <v>47</v>
      </c>
      <c r="M203" s="3">
        <v>0</v>
      </c>
      <c r="N203" s="3">
        <v>495.76</v>
      </c>
      <c r="P203" t="s">
        <v>23</v>
      </c>
    </row>
    <row r="204" spans="1:16">
      <c r="A204" t="s">
        <v>15</v>
      </c>
      <c r="B204" t="s">
        <v>16</v>
      </c>
      <c r="C204" s="2">
        <v>68507.289999999994</v>
      </c>
      <c r="D204" s="1">
        <v>45792</v>
      </c>
      <c r="E204" s="1">
        <v>45792</v>
      </c>
      <c r="F204" t="s">
        <v>565</v>
      </c>
      <c r="H204" t="s">
        <v>43</v>
      </c>
      <c r="I204" t="s">
        <v>299</v>
      </c>
      <c r="J204" t="s">
        <v>300</v>
      </c>
      <c r="K204" t="s">
        <v>566</v>
      </c>
      <c r="L204" t="s">
        <v>47</v>
      </c>
      <c r="M204" s="3">
        <v>0</v>
      </c>
      <c r="N204" s="3">
        <v>338.98</v>
      </c>
      <c r="P204" t="s">
        <v>23</v>
      </c>
    </row>
    <row r="205" spans="1:16">
      <c r="A205" t="s">
        <v>15</v>
      </c>
      <c r="B205" t="s">
        <v>16</v>
      </c>
      <c r="C205" s="2">
        <v>68507.289999999994</v>
      </c>
      <c r="D205" s="1">
        <v>45792</v>
      </c>
      <c r="E205" s="1">
        <v>45792</v>
      </c>
      <c r="F205" t="s">
        <v>567</v>
      </c>
      <c r="H205" t="s">
        <v>43</v>
      </c>
      <c r="I205" t="s">
        <v>443</v>
      </c>
      <c r="J205" t="s">
        <v>444</v>
      </c>
      <c r="K205" t="s">
        <v>568</v>
      </c>
      <c r="L205" t="s">
        <v>47</v>
      </c>
      <c r="M205" s="3">
        <v>0</v>
      </c>
      <c r="N205" s="3">
        <v>233.33</v>
      </c>
      <c r="P205" t="s">
        <v>23</v>
      </c>
    </row>
    <row r="206" spans="1:16">
      <c r="A206" t="s">
        <v>15</v>
      </c>
      <c r="B206" t="s">
        <v>16</v>
      </c>
      <c r="C206" s="2">
        <v>68507.289999999994</v>
      </c>
      <c r="D206" s="1">
        <v>45792</v>
      </c>
      <c r="E206" s="1">
        <v>45792</v>
      </c>
      <c r="F206" t="s">
        <v>569</v>
      </c>
      <c r="H206" t="s">
        <v>49</v>
      </c>
      <c r="I206" t="s">
        <v>50</v>
      </c>
      <c r="J206" t="s">
        <v>49</v>
      </c>
      <c r="K206" t="s">
        <v>570</v>
      </c>
      <c r="L206" t="s">
        <v>22</v>
      </c>
      <c r="M206" s="3">
        <v>23.13</v>
      </c>
      <c r="N206" s="3">
        <v>0</v>
      </c>
      <c r="P206" t="s">
        <v>23</v>
      </c>
    </row>
    <row r="207" spans="1:16">
      <c r="A207" t="s">
        <v>15</v>
      </c>
      <c r="B207" t="s">
        <v>16</v>
      </c>
      <c r="C207" s="2">
        <v>68507.289999999994</v>
      </c>
      <c r="D207" s="1">
        <v>45792</v>
      </c>
      <c r="E207" s="1">
        <v>45792</v>
      </c>
      <c r="F207" t="s">
        <v>569</v>
      </c>
      <c r="H207" t="s">
        <v>571</v>
      </c>
      <c r="I207" t="s">
        <v>216</v>
      </c>
      <c r="J207" t="s">
        <v>217</v>
      </c>
      <c r="K207" t="s">
        <v>572</v>
      </c>
      <c r="L207" t="s">
        <v>22</v>
      </c>
      <c r="M207" s="3">
        <v>28225.46</v>
      </c>
      <c r="N207" s="3">
        <v>0</v>
      </c>
      <c r="P207" t="s">
        <v>23</v>
      </c>
    </row>
    <row r="208" spans="1:16">
      <c r="A208" t="s">
        <v>15</v>
      </c>
      <c r="B208" t="s">
        <v>16</v>
      </c>
      <c r="C208" s="2">
        <v>68507.289999999994</v>
      </c>
      <c r="D208" s="1">
        <v>45792</v>
      </c>
      <c r="E208" s="1">
        <v>45792</v>
      </c>
      <c r="F208" t="s">
        <v>573</v>
      </c>
      <c r="H208" t="s">
        <v>101</v>
      </c>
      <c r="I208" t="s">
        <v>102</v>
      </c>
      <c r="J208" t="s">
        <v>103</v>
      </c>
      <c r="K208" t="s">
        <v>574</v>
      </c>
      <c r="L208" t="s">
        <v>47</v>
      </c>
      <c r="M208" s="3">
        <v>0</v>
      </c>
      <c r="N208" s="3">
        <v>3687.29</v>
      </c>
      <c r="P208" t="s">
        <v>23</v>
      </c>
    </row>
    <row r="209" spans="1:16">
      <c r="A209" t="s">
        <v>15</v>
      </c>
      <c r="B209" t="s">
        <v>16</v>
      </c>
      <c r="C209" s="2">
        <v>68507.289999999994</v>
      </c>
      <c r="D209" s="1">
        <v>45795</v>
      </c>
      <c r="E209" s="1">
        <v>45795</v>
      </c>
      <c r="F209" t="s">
        <v>126</v>
      </c>
      <c r="H209" t="s">
        <v>127</v>
      </c>
      <c r="I209" t="s">
        <v>128</v>
      </c>
      <c r="J209" t="s">
        <v>129</v>
      </c>
      <c r="K209" t="s">
        <v>575</v>
      </c>
      <c r="L209" t="s">
        <v>22</v>
      </c>
      <c r="M209" s="3">
        <v>0</v>
      </c>
      <c r="N209" s="3">
        <v>578.80999999999995</v>
      </c>
      <c r="P209" t="s">
        <v>23</v>
      </c>
    </row>
    <row r="210" spans="1:16">
      <c r="A210" t="s">
        <v>15</v>
      </c>
      <c r="B210" t="s">
        <v>16</v>
      </c>
      <c r="C210" s="2">
        <v>68507.289999999994</v>
      </c>
      <c r="D210" s="1">
        <v>45797</v>
      </c>
      <c r="E210" s="1">
        <v>45797</v>
      </c>
      <c r="F210" t="s">
        <v>119</v>
      </c>
      <c r="H210" t="s">
        <v>491</v>
      </c>
      <c r="I210" t="s">
        <v>121</v>
      </c>
      <c r="J210" t="s">
        <v>122</v>
      </c>
      <c r="K210" t="s">
        <v>576</v>
      </c>
      <c r="L210" t="s">
        <v>22</v>
      </c>
      <c r="M210" s="3">
        <v>0</v>
      </c>
      <c r="N210" s="3">
        <v>16497.75</v>
      </c>
      <c r="P210" t="s">
        <v>23</v>
      </c>
    </row>
    <row r="211" spans="1:16">
      <c r="A211" t="s">
        <v>15</v>
      </c>
      <c r="B211" t="s">
        <v>16</v>
      </c>
      <c r="C211" s="2">
        <v>68507.289999999994</v>
      </c>
      <c r="D211" s="1">
        <v>45799</v>
      </c>
      <c r="E211" s="1">
        <v>45799</v>
      </c>
      <c r="F211" t="s">
        <v>126</v>
      </c>
      <c r="H211" t="s">
        <v>127</v>
      </c>
      <c r="I211" t="s">
        <v>128</v>
      </c>
      <c r="J211" t="s">
        <v>129</v>
      </c>
      <c r="K211" t="s">
        <v>577</v>
      </c>
      <c r="L211" t="s">
        <v>22</v>
      </c>
      <c r="M211" s="3">
        <v>0</v>
      </c>
      <c r="N211" s="3">
        <v>14717.1</v>
      </c>
      <c r="P211" t="s">
        <v>23</v>
      </c>
    </row>
    <row r="212" spans="1:16">
      <c r="A212" t="s">
        <v>15</v>
      </c>
      <c r="B212" t="s">
        <v>16</v>
      </c>
      <c r="C212" s="2">
        <v>68507.289999999994</v>
      </c>
      <c r="D212" s="1">
        <v>45800</v>
      </c>
      <c r="E212" s="1">
        <v>45800</v>
      </c>
      <c r="F212" t="s">
        <v>578</v>
      </c>
      <c r="H212" t="s">
        <v>49</v>
      </c>
      <c r="I212" t="s">
        <v>50</v>
      </c>
      <c r="J212" t="s">
        <v>49</v>
      </c>
      <c r="K212" t="s">
        <v>579</v>
      </c>
      <c r="L212" t="s">
        <v>22</v>
      </c>
      <c r="M212" s="3">
        <v>2.21</v>
      </c>
      <c r="N212" s="3">
        <v>0</v>
      </c>
      <c r="P212" t="s">
        <v>23</v>
      </c>
    </row>
    <row r="213" spans="1:16">
      <c r="A213" t="s">
        <v>15</v>
      </c>
      <c r="B213" t="s">
        <v>16</v>
      </c>
      <c r="C213" s="2">
        <v>68507.289999999994</v>
      </c>
      <c r="D213" s="1">
        <v>45800</v>
      </c>
      <c r="E213" s="1">
        <v>45800</v>
      </c>
      <c r="F213" t="s">
        <v>578</v>
      </c>
      <c r="H213" t="s">
        <v>580</v>
      </c>
      <c r="I213" t="s">
        <v>216</v>
      </c>
      <c r="J213" t="s">
        <v>217</v>
      </c>
      <c r="K213" t="s">
        <v>581</v>
      </c>
      <c r="L213" t="s">
        <v>22</v>
      </c>
      <c r="M213" s="3">
        <v>3710.53</v>
      </c>
      <c r="N213" s="3">
        <v>0</v>
      </c>
      <c r="P213" t="s">
        <v>23</v>
      </c>
    </row>
    <row r="214" spans="1:16">
      <c r="A214" t="s">
        <v>15</v>
      </c>
      <c r="B214" t="s">
        <v>16</v>
      </c>
      <c r="C214" s="2">
        <v>68507.289999999994</v>
      </c>
      <c r="D214" s="1">
        <v>45802</v>
      </c>
      <c r="E214" s="1">
        <v>45802</v>
      </c>
      <c r="F214" t="s">
        <v>582</v>
      </c>
      <c r="H214" t="s">
        <v>49</v>
      </c>
      <c r="I214" t="s">
        <v>50</v>
      </c>
      <c r="J214" t="s">
        <v>49</v>
      </c>
      <c r="K214" t="s">
        <v>583</v>
      </c>
      <c r="L214" t="s">
        <v>22</v>
      </c>
      <c r="M214" s="3">
        <v>2.35</v>
      </c>
      <c r="N214" s="3">
        <v>0</v>
      </c>
      <c r="P214" t="s">
        <v>23</v>
      </c>
    </row>
    <row r="215" spans="1:16">
      <c r="A215" t="s">
        <v>15</v>
      </c>
      <c r="B215" t="s">
        <v>16</v>
      </c>
      <c r="C215" s="2">
        <v>68507.289999999994</v>
      </c>
      <c r="D215" s="1">
        <v>45802</v>
      </c>
      <c r="E215" s="1">
        <v>45802</v>
      </c>
      <c r="F215" t="s">
        <v>582</v>
      </c>
      <c r="H215" t="s">
        <v>571</v>
      </c>
      <c r="I215" t="s">
        <v>216</v>
      </c>
      <c r="J215" t="s">
        <v>217</v>
      </c>
      <c r="K215" t="s">
        <v>584</v>
      </c>
      <c r="L215" t="s">
        <v>22</v>
      </c>
      <c r="M215" s="3">
        <v>15765.79</v>
      </c>
      <c r="N215" s="3">
        <v>0</v>
      </c>
      <c r="P215" t="s">
        <v>23</v>
      </c>
    </row>
    <row r="216" spans="1:16">
      <c r="A216" t="s">
        <v>15</v>
      </c>
      <c r="B216" t="s">
        <v>16</v>
      </c>
      <c r="C216" s="2">
        <v>68507.289999999994</v>
      </c>
      <c r="D216" s="1">
        <v>45803</v>
      </c>
      <c r="E216" s="1">
        <v>45803</v>
      </c>
      <c r="F216" t="s">
        <v>585</v>
      </c>
      <c r="H216" t="s">
        <v>586</v>
      </c>
      <c r="I216" t="s">
        <v>386</v>
      </c>
      <c r="J216" t="s">
        <v>387</v>
      </c>
      <c r="K216" t="s">
        <v>587</v>
      </c>
      <c r="L216" t="s">
        <v>144</v>
      </c>
      <c r="M216" s="3">
        <v>6484.6</v>
      </c>
      <c r="N216" s="3">
        <v>0</v>
      </c>
      <c r="P216" t="s">
        <v>23</v>
      </c>
    </row>
    <row r="217" spans="1:16">
      <c r="A217" t="s">
        <v>15</v>
      </c>
      <c r="B217" t="s">
        <v>16</v>
      </c>
      <c r="C217" s="2">
        <v>68507.289999999994</v>
      </c>
      <c r="D217" s="1">
        <v>45805</v>
      </c>
      <c r="E217" s="1">
        <v>45805</v>
      </c>
      <c r="F217" t="s">
        <v>588</v>
      </c>
      <c r="H217" t="s">
        <v>43</v>
      </c>
      <c r="I217" t="s">
        <v>589</v>
      </c>
      <c r="J217" t="s">
        <v>590</v>
      </c>
      <c r="K217" t="s">
        <v>591</v>
      </c>
      <c r="L217" t="s">
        <v>47</v>
      </c>
      <c r="M217" s="3">
        <v>0</v>
      </c>
      <c r="N217" s="3">
        <v>4815.54</v>
      </c>
      <c r="P217" t="s">
        <v>23</v>
      </c>
    </row>
    <row r="218" spans="1:16">
      <c r="A218" t="s">
        <v>15</v>
      </c>
      <c r="B218" t="s">
        <v>16</v>
      </c>
      <c r="C218" s="2">
        <v>68507.289999999994</v>
      </c>
      <c r="D218" s="1">
        <v>45805</v>
      </c>
      <c r="E218" s="1">
        <v>45805</v>
      </c>
      <c r="H218" t="s">
        <v>592</v>
      </c>
      <c r="I218" t="s">
        <v>193</v>
      </c>
      <c r="J218" t="s">
        <v>194</v>
      </c>
      <c r="K218" t="s">
        <v>593</v>
      </c>
      <c r="L218" t="s">
        <v>41</v>
      </c>
      <c r="M218" s="3">
        <v>100000</v>
      </c>
      <c r="N218" s="3">
        <v>0</v>
      </c>
      <c r="P218" t="s">
        <v>23</v>
      </c>
    </row>
    <row r="219" spans="1:16">
      <c r="A219" t="s">
        <v>15</v>
      </c>
      <c r="B219" t="s">
        <v>16</v>
      </c>
      <c r="C219" s="2">
        <v>68507.289999999994</v>
      </c>
      <c r="D219" s="1">
        <v>45806</v>
      </c>
      <c r="E219" s="1">
        <v>45806</v>
      </c>
      <c r="F219" t="s">
        <v>594</v>
      </c>
      <c r="H219" t="s">
        <v>420</v>
      </c>
      <c r="I219" t="s">
        <v>34</v>
      </c>
      <c r="J219" t="s">
        <v>35</v>
      </c>
      <c r="K219" t="s">
        <v>595</v>
      </c>
      <c r="L219" t="s">
        <v>22</v>
      </c>
      <c r="M219" s="3">
        <v>0</v>
      </c>
      <c r="N219" s="3">
        <v>55558.44</v>
      </c>
      <c r="P219" t="s">
        <v>23</v>
      </c>
    </row>
    <row r="220" spans="1:16">
      <c r="A220" t="s">
        <v>15</v>
      </c>
      <c r="B220" t="s">
        <v>16</v>
      </c>
      <c r="C220" s="2">
        <v>68507.289999999994</v>
      </c>
      <c r="D220" s="1">
        <v>45806</v>
      </c>
      <c r="E220" s="1">
        <v>45806</v>
      </c>
      <c r="F220" t="s">
        <v>596</v>
      </c>
      <c r="H220" t="s">
        <v>101</v>
      </c>
      <c r="I220" t="s">
        <v>74</v>
      </c>
      <c r="J220" t="s">
        <v>75</v>
      </c>
      <c r="K220" t="s">
        <v>597</v>
      </c>
      <c r="L220" t="s">
        <v>47</v>
      </c>
      <c r="M220" s="3">
        <v>0</v>
      </c>
      <c r="N220" s="3">
        <v>126.46</v>
      </c>
      <c r="P220" t="s">
        <v>23</v>
      </c>
    </row>
    <row r="221" spans="1:16">
      <c r="A221" t="s">
        <v>15</v>
      </c>
      <c r="B221" t="s">
        <v>16</v>
      </c>
      <c r="C221" s="2">
        <v>68507.289999999994</v>
      </c>
      <c r="D221" s="1">
        <v>45806</v>
      </c>
      <c r="E221" s="1">
        <v>45806</v>
      </c>
      <c r="F221" t="s">
        <v>598</v>
      </c>
      <c r="H221" t="s">
        <v>43</v>
      </c>
      <c r="I221" t="s">
        <v>150</v>
      </c>
      <c r="J221" t="s">
        <v>151</v>
      </c>
      <c r="K221" t="s">
        <v>599</v>
      </c>
      <c r="L221" t="s">
        <v>47</v>
      </c>
      <c r="M221" s="3">
        <v>0</v>
      </c>
      <c r="N221" s="3">
        <v>161.18</v>
      </c>
      <c r="P221" t="s">
        <v>23</v>
      </c>
    </row>
    <row r="222" spans="1:16">
      <c r="A222" t="s">
        <v>15</v>
      </c>
      <c r="B222" t="s">
        <v>16</v>
      </c>
      <c r="C222" s="2">
        <v>68507.289999999994</v>
      </c>
      <c r="D222" s="1">
        <v>45806</v>
      </c>
      <c r="E222" s="1">
        <v>45806</v>
      </c>
      <c r="F222" t="s">
        <v>600</v>
      </c>
      <c r="H222" t="s">
        <v>43</v>
      </c>
      <c r="I222" t="s">
        <v>601</v>
      </c>
      <c r="J222" t="s">
        <v>602</v>
      </c>
      <c r="K222" t="s">
        <v>603</v>
      </c>
      <c r="L222" t="s">
        <v>47</v>
      </c>
      <c r="M222" s="3">
        <v>0</v>
      </c>
      <c r="N222" s="3">
        <v>168</v>
      </c>
      <c r="P222" t="s">
        <v>23</v>
      </c>
    </row>
    <row r="223" spans="1:16">
      <c r="A223" t="s">
        <v>15</v>
      </c>
      <c r="B223" t="s">
        <v>16</v>
      </c>
      <c r="C223" s="2">
        <v>68507.289999999994</v>
      </c>
      <c r="D223" s="1">
        <v>45806</v>
      </c>
      <c r="E223" s="1">
        <v>45806</v>
      </c>
      <c r="F223" t="s">
        <v>604</v>
      </c>
      <c r="H223" t="s">
        <v>43</v>
      </c>
      <c r="I223" t="s">
        <v>605</v>
      </c>
      <c r="J223" t="s">
        <v>606</v>
      </c>
      <c r="K223" t="s">
        <v>607</v>
      </c>
      <c r="L223" t="s">
        <v>47</v>
      </c>
      <c r="M223" s="3">
        <v>0</v>
      </c>
      <c r="N223" s="3">
        <v>295</v>
      </c>
      <c r="P223" t="s">
        <v>23</v>
      </c>
    </row>
    <row r="224" spans="1:16">
      <c r="A224" t="s">
        <v>15</v>
      </c>
      <c r="B224" t="s">
        <v>16</v>
      </c>
      <c r="C224" s="2">
        <v>68507.289999999994</v>
      </c>
      <c r="D224" s="1">
        <v>45806</v>
      </c>
      <c r="E224" s="1">
        <v>45806</v>
      </c>
      <c r="F224" t="s">
        <v>608</v>
      </c>
      <c r="H224" t="s">
        <v>43</v>
      </c>
      <c r="I224" t="s">
        <v>459</v>
      </c>
      <c r="J224" t="s">
        <v>460</v>
      </c>
      <c r="K224" t="s">
        <v>609</v>
      </c>
      <c r="L224" t="s">
        <v>47</v>
      </c>
      <c r="M224" s="3">
        <v>0</v>
      </c>
      <c r="N224" s="3">
        <v>335.99</v>
      </c>
      <c r="P224" t="s">
        <v>23</v>
      </c>
    </row>
    <row r="225" spans="1:16">
      <c r="A225" t="s">
        <v>15</v>
      </c>
      <c r="B225" t="s">
        <v>16</v>
      </c>
      <c r="C225" s="2">
        <v>68507.289999999994</v>
      </c>
      <c r="D225" s="1">
        <v>45806</v>
      </c>
      <c r="E225" s="1">
        <v>45806</v>
      </c>
      <c r="F225" t="s">
        <v>610</v>
      </c>
      <c r="H225" t="s">
        <v>43</v>
      </c>
      <c r="I225" t="s">
        <v>443</v>
      </c>
      <c r="J225" t="s">
        <v>444</v>
      </c>
      <c r="K225" t="s">
        <v>611</v>
      </c>
      <c r="L225" t="s">
        <v>47</v>
      </c>
      <c r="M225" s="3">
        <v>0</v>
      </c>
      <c r="N225" s="3">
        <v>571.17999999999995</v>
      </c>
      <c r="P225" t="s">
        <v>23</v>
      </c>
    </row>
    <row r="226" spans="1:16">
      <c r="A226" t="s">
        <v>15</v>
      </c>
      <c r="B226" t="s">
        <v>16</v>
      </c>
      <c r="C226" s="2">
        <v>68507.289999999994</v>
      </c>
      <c r="D226" s="1">
        <v>45806</v>
      </c>
      <c r="E226" s="1">
        <v>45806</v>
      </c>
      <c r="F226" t="s">
        <v>612</v>
      </c>
      <c r="H226" t="s">
        <v>43</v>
      </c>
      <c r="I226" t="s">
        <v>158</v>
      </c>
      <c r="J226" t="s">
        <v>159</v>
      </c>
      <c r="K226" t="s">
        <v>613</v>
      </c>
      <c r="L226" t="s">
        <v>47</v>
      </c>
      <c r="M226" s="3">
        <v>0</v>
      </c>
      <c r="N226" s="3">
        <v>637.53</v>
      </c>
      <c r="P226" t="s">
        <v>23</v>
      </c>
    </row>
    <row r="227" spans="1:16">
      <c r="A227" t="s">
        <v>15</v>
      </c>
      <c r="B227" t="s">
        <v>16</v>
      </c>
      <c r="C227" s="2">
        <v>68507.289999999994</v>
      </c>
      <c r="D227" s="1">
        <v>45806</v>
      </c>
      <c r="E227" s="1">
        <v>45806</v>
      </c>
      <c r="F227" t="s">
        <v>614</v>
      </c>
      <c r="H227" t="s">
        <v>43</v>
      </c>
      <c r="I227" t="s">
        <v>93</v>
      </c>
      <c r="J227" t="s">
        <v>94</v>
      </c>
      <c r="K227" t="s">
        <v>615</v>
      </c>
      <c r="L227" t="s">
        <v>47</v>
      </c>
      <c r="M227" s="3">
        <v>0</v>
      </c>
      <c r="N227" s="3">
        <v>696.75</v>
      </c>
      <c r="P227" t="s">
        <v>23</v>
      </c>
    </row>
    <row r="228" spans="1:16">
      <c r="A228" t="s">
        <v>15</v>
      </c>
      <c r="B228" t="s">
        <v>16</v>
      </c>
      <c r="C228" s="2">
        <v>68507.289999999994</v>
      </c>
      <c r="D228" s="1">
        <v>45806</v>
      </c>
      <c r="E228" s="1">
        <v>45806</v>
      </c>
      <c r="F228" t="s">
        <v>616</v>
      </c>
      <c r="H228" t="s">
        <v>43</v>
      </c>
      <c r="I228" t="s">
        <v>375</v>
      </c>
      <c r="J228" t="s">
        <v>376</v>
      </c>
      <c r="K228" t="s">
        <v>617</v>
      </c>
      <c r="L228" t="s">
        <v>47</v>
      </c>
      <c r="M228" s="3">
        <v>0</v>
      </c>
      <c r="N228" s="3">
        <v>934.05</v>
      </c>
      <c r="P228" t="s">
        <v>23</v>
      </c>
    </row>
    <row r="229" spans="1:16">
      <c r="A229" t="s">
        <v>15</v>
      </c>
      <c r="B229" t="s">
        <v>16</v>
      </c>
      <c r="C229" s="2">
        <v>68507.289999999994</v>
      </c>
      <c r="D229" s="1">
        <v>45806</v>
      </c>
      <c r="E229" s="1">
        <v>45806</v>
      </c>
      <c r="F229" t="s">
        <v>618</v>
      </c>
      <c r="H229" t="s">
        <v>43</v>
      </c>
      <c r="I229" t="s">
        <v>619</v>
      </c>
      <c r="J229" t="s">
        <v>620</v>
      </c>
      <c r="K229" t="s">
        <v>621</v>
      </c>
      <c r="L229" t="s">
        <v>47</v>
      </c>
      <c r="M229" s="3">
        <v>0</v>
      </c>
      <c r="N229" s="3">
        <v>964.41</v>
      </c>
      <c r="P229" t="s">
        <v>23</v>
      </c>
    </row>
    <row r="230" spans="1:16">
      <c r="A230" t="s">
        <v>15</v>
      </c>
      <c r="B230" t="s">
        <v>16</v>
      </c>
      <c r="C230" s="2">
        <v>68507.289999999994</v>
      </c>
      <c r="D230" s="1">
        <v>45806</v>
      </c>
      <c r="E230" s="1">
        <v>45806</v>
      </c>
      <c r="F230" t="s">
        <v>622</v>
      </c>
      <c r="H230" t="s">
        <v>43</v>
      </c>
      <c r="I230" t="s">
        <v>623</v>
      </c>
      <c r="J230" t="s">
        <v>624</v>
      </c>
      <c r="K230" t="s">
        <v>625</v>
      </c>
      <c r="L230" t="s">
        <v>47</v>
      </c>
      <c r="M230" s="3">
        <v>0</v>
      </c>
      <c r="N230" s="3">
        <v>1231.49</v>
      </c>
      <c r="P230" t="s">
        <v>23</v>
      </c>
    </row>
    <row r="231" spans="1:16">
      <c r="A231" t="s">
        <v>15</v>
      </c>
      <c r="B231" t="s">
        <v>16</v>
      </c>
      <c r="C231" s="2">
        <v>68507.289999999994</v>
      </c>
      <c r="D231" s="1">
        <v>45806</v>
      </c>
      <c r="E231" s="1">
        <v>45806</v>
      </c>
      <c r="F231" t="s">
        <v>626</v>
      </c>
      <c r="H231" t="s">
        <v>43</v>
      </c>
      <c r="I231" t="s">
        <v>79</v>
      </c>
      <c r="J231" t="s">
        <v>80</v>
      </c>
      <c r="K231" t="s">
        <v>627</v>
      </c>
      <c r="L231" t="s">
        <v>47</v>
      </c>
      <c r="M231" s="3">
        <v>0</v>
      </c>
      <c r="N231" s="3">
        <v>1619.59</v>
      </c>
      <c r="P231" t="s">
        <v>23</v>
      </c>
    </row>
    <row r="232" spans="1:16">
      <c r="A232" t="s">
        <v>15</v>
      </c>
      <c r="B232" t="s">
        <v>16</v>
      </c>
      <c r="C232" s="2">
        <v>68507.289999999994</v>
      </c>
      <c r="D232" s="1">
        <v>45806</v>
      </c>
      <c r="E232" s="1">
        <v>45806</v>
      </c>
      <c r="F232" t="s">
        <v>628</v>
      </c>
      <c r="H232" t="s">
        <v>43</v>
      </c>
      <c r="I232" t="s">
        <v>629</v>
      </c>
      <c r="J232" t="s">
        <v>630</v>
      </c>
      <c r="K232" t="s">
        <v>631</v>
      </c>
      <c r="L232" t="s">
        <v>47</v>
      </c>
      <c r="M232" s="3">
        <v>0</v>
      </c>
      <c r="N232" s="3">
        <v>5819.98</v>
      </c>
      <c r="P232" t="s">
        <v>23</v>
      </c>
    </row>
    <row r="233" spans="1:16">
      <c r="A233" t="s">
        <v>15</v>
      </c>
      <c r="B233" t="s">
        <v>16</v>
      </c>
      <c r="C233" s="2">
        <v>68507.289999999994</v>
      </c>
      <c r="D233" s="1">
        <v>45806</v>
      </c>
      <c r="E233" s="1">
        <v>45806</v>
      </c>
      <c r="F233" t="s">
        <v>632</v>
      </c>
      <c r="H233" t="s">
        <v>43</v>
      </c>
      <c r="I233" t="s">
        <v>633</v>
      </c>
      <c r="J233" t="s">
        <v>634</v>
      </c>
      <c r="K233" t="s">
        <v>635</v>
      </c>
      <c r="L233" t="s">
        <v>47</v>
      </c>
      <c r="M233" s="3">
        <v>0</v>
      </c>
      <c r="N233" s="3">
        <v>358.49</v>
      </c>
      <c r="P233" t="s">
        <v>23</v>
      </c>
    </row>
    <row r="234" spans="1:16">
      <c r="A234" t="s">
        <v>15</v>
      </c>
      <c r="B234" t="s">
        <v>16</v>
      </c>
      <c r="C234" s="2">
        <v>68507.289999999994</v>
      </c>
      <c r="D234" s="1">
        <v>45808</v>
      </c>
      <c r="E234" s="1">
        <v>45808</v>
      </c>
      <c r="H234" t="s">
        <v>636</v>
      </c>
      <c r="I234" t="s">
        <v>197</v>
      </c>
      <c r="J234" t="s">
        <v>198</v>
      </c>
      <c r="K234" t="s">
        <v>637</v>
      </c>
      <c r="L234" t="s">
        <v>22</v>
      </c>
      <c r="M234" s="3">
        <v>0</v>
      </c>
      <c r="N234" s="3">
        <v>98.45</v>
      </c>
      <c r="P234" t="s">
        <v>23</v>
      </c>
    </row>
    <row r="235" spans="1:16">
      <c r="A235" t="s">
        <v>15</v>
      </c>
      <c r="B235" t="s">
        <v>16</v>
      </c>
      <c r="C235" s="2">
        <v>68507.289999999994</v>
      </c>
      <c r="D235" s="1">
        <v>45811</v>
      </c>
      <c r="E235" s="1">
        <v>45811</v>
      </c>
      <c r="F235" t="s">
        <v>638</v>
      </c>
      <c r="H235" t="s">
        <v>639</v>
      </c>
      <c r="I235" t="s">
        <v>640</v>
      </c>
      <c r="J235" t="s">
        <v>641</v>
      </c>
      <c r="K235" t="s">
        <v>642</v>
      </c>
      <c r="L235" t="s">
        <v>22</v>
      </c>
      <c r="M235" s="3">
        <v>2558.27</v>
      </c>
      <c r="N235" s="3">
        <v>0</v>
      </c>
      <c r="P235" t="s">
        <v>23</v>
      </c>
    </row>
    <row r="236" spans="1:16">
      <c r="A236" t="s">
        <v>15</v>
      </c>
      <c r="B236" t="s">
        <v>16</v>
      </c>
      <c r="C236" s="2">
        <v>68507.289999999994</v>
      </c>
      <c r="D236" s="1">
        <v>45811</v>
      </c>
      <c r="E236" s="1">
        <v>45811</v>
      </c>
      <c r="F236" t="s">
        <v>62</v>
      </c>
      <c r="H236" t="s">
        <v>220</v>
      </c>
      <c r="I236" t="s">
        <v>64</v>
      </c>
      <c r="J236" t="s">
        <v>65</v>
      </c>
      <c r="K236" t="s">
        <v>643</v>
      </c>
      <c r="L236" t="s">
        <v>22</v>
      </c>
      <c r="M236" s="3">
        <v>0</v>
      </c>
      <c r="N236" s="3">
        <v>21732.15</v>
      </c>
      <c r="P236" t="s">
        <v>23</v>
      </c>
    </row>
    <row r="237" spans="1:16">
      <c r="A237" t="s">
        <v>15</v>
      </c>
      <c r="B237" t="s">
        <v>16</v>
      </c>
      <c r="C237" s="2">
        <v>68507.289999999994</v>
      </c>
      <c r="D237" s="1">
        <v>45811</v>
      </c>
      <c r="E237" s="1">
        <v>45811</v>
      </c>
      <c r="F237" t="s">
        <v>28</v>
      </c>
      <c r="H237" t="s">
        <v>18</v>
      </c>
      <c r="I237" t="s">
        <v>29</v>
      </c>
      <c r="J237" t="s">
        <v>30</v>
      </c>
      <c r="K237" t="s">
        <v>644</v>
      </c>
      <c r="L237" t="s">
        <v>22</v>
      </c>
      <c r="M237" s="3">
        <v>0</v>
      </c>
      <c r="N237" s="3">
        <v>2995.83</v>
      </c>
      <c r="P237" t="s">
        <v>23</v>
      </c>
    </row>
    <row r="238" spans="1:16">
      <c r="A238" t="s">
        <v>15</v>
      </c>
      <c r="B238" t="s">
        <v>16</v>
      </c>
      <c r="C238" s="2">
        <v>68507.289999999994</v>
      </c>
      <c r="D238" s="1">
        <v>45811</v>
      </c>
      <c r="E238" s="1">
        <v>45811</v>
      </c>
      <c r="F238" t="s">
        <v>24</v>
      </c>
      <c r="H238" t="s">
        <v>18</v>
      </c>
      <c r="I238" t="s">
        <v>25</v>
      </c>
      <c r="J238" t="s">
        <v>26</v>
      </c>
      <c r="K238" t="s">
        <v>645</v>
      </c>
      <c r="L238" t="s">
        <v>22</v>
      </c>
      <c r="M238" s="3">
        <v>0</v>
      </c>
      <c r="N238" s="3">
        <v>206.53</v>
      </c>
      <c r="P238" t="s">
        <v>23</v>
      </c>
    </row>
    <row r="239" spans="1:16">
      <c r="A239" t="s">
        <v>15</v>
      </c>
      <c r="B239" t="s">
        <v>16</v>
      </c>
      <c r="C239" s="2">
        <v>68507.289999999994</v>
      </c>
      <c r="D239" s="1">
        <v>45811</v>
      </c>
      <c r="E239" s="1">
        <v>45811</v>
      </c>
      <c r="F239" t="s">
        <v>646</v>
      </c>
      <c r="H239" t="s">
        <v>647</v>
      </c>
      <c r="I239" t="s">
        <v>545</v>
      </c>
      <c r="J239" t="s">
        <v>546</v>
      </c>
      <c r="K239" t="s">
        <v>648</v>
      </c>
      <c r="L239" t="s">
        <v>41</v>
      </c>
      <c r="M239" s="3">
        <v>0</v>
      </c>
      <c r="N239" s="3">
        <v>1128.77</v>
      </c>
      <c r="P239" t="s">
        <v>23</v>
      </c>
    </row>
    <row r="240" spans="1:16">
      <c r="A240" t="s">
        <v>15</v>
      </c>
      <c r="B240" t="s">
        <v>16</v>
      </c>
      <c r="C240" s="2">
        <v>68507.289999999994</v>
      </c>
      <c r="D240" s="1">
        <v>45813</v>
      </c>
      <c r="E240" s="1">
        <v>45813</v>
      </c>
      <c r="F240" t="s">
        <v>57</v>
      </c>
      <c r="H240" t="s">
        <v>649</v>
      </c>
      <c r="I240" t="s">
        <v>59</v>
      </c>
      <c r="J240" t="s">
        <v>60</v>
      </c>
      <c r="K240" t="s">
        <v>650</v>
      </c>
      <c r="L240" t="s">
        <v>22</v>
      </c>
      <c r="M240" s="3">
        <v>14386.3</v>
      </c>
      <c r="N240" s="3">
        <v>0</v>
      </c>
      <c r="P240" t="s">
        <v>23</v>
      </c>
    </row>
    <row r="241" spans="1:16">
      <c r="A241" t="s">
        <v>15</v>
      </c>
      <c r="B241" t="s">
        <v>16</v>
      </c>
      <c r="C241" s="2">
        <v>68507.289999999994</v>
      </c>
      <c r="D241" s="1">
        <v>45818</v>
      </c>
      <c r="E241" s="1">
        <v>45818</v>
      </c>
      <c r="F241" t="s">
        <v>651</v>
      </c>
      <c r="H241" t="s">
        <v>652</v>
      </c>
      <c r="I241" t="s">
        <v>224</v>
      </c>
      <c r="J241" t="s">
        <v>225</v>
      </c>
      <c r="K241" t="s">
        <v>653</v>
      </c>
      <c r="L241" t="s">
        <v>144</v>
      </c>
      <c r="M241" s="3">
        <v>239.79</v>
      </c>
      <c r="N241" s="3">
        <v>0</v>
      </c>
      <c r="P241" t="s">
        <v>23</v>
      </c>
    </row>
    <row r="242" spans="1:16">
      <c r="A242" t="s">
        <v>15</v>
      </c>
      <c r="B242" t="s">
        <v>16</v>
      </c>
      <c r="C242" s="2">
        <v>68507.289999999994</v>
      </c>
      <c r="D242" s="1">
        <v>45823</v>
      </c>
      <c r="E242" s="1">
        <v>45823</v>
      </c>
      <c r="F242" t="s">
        <v>126</v>
      </c>
      <c r="H242" t="s">
        <v>127</v>
      </c>
      <c r="I242" t="s">
        <v>128</v>
      </c>
      <c r="J242" t="s">
        <v>129</v>
      </c>
      <c r="K242" t="s">
        <v>654</v>
      </c>
      <c r="L242" t="s">
        <v>22</v>
      </c>
      <c r="M242" s="3">
        <v>0</v>
      </c>
      <c r="N242" s="3">
        <v>588.89</v>
      </c>
      <c r="P242" t="s">
        <v>23</v>
      </c>
    </row>
    <row r="243" spans="1:16">
      <c r="A243" t="s">
        <v>15</v>
      </c>
      <c r="B243" t="s">
        <v>16</v>
      </c>
      <c r="C243" s="2">
        <v>68507.289999999994</v>
      </c>
      <c r="D243" s="1">
        <v>45823</v>
      </c>
      <c r="E243" s="1">
        <v>45823</v>
      </c>
      <c r="F243" t="s">
        <v>655</v>
      </c>
      <c r="H243" t="s">
        <v>101</v>
      </c>
      <c r="I243" t="s">
        <v>102</v>
      </c>
      <c r="J243" t="s">
        <v>103</v>
      </c>
      <c r="K243" t="s">
        <v>656</v>
      </c>
      <c r="L243" t="s">
        <v>47</v>
      </c>
      <c r="M243" s="3">
        <v>0</v>
      </c>
      <c r="N243" s="3">
        <v>3056.11</v>
      </c>
      <c r="P243" t="s">
        <v>23</v>
      </c>
    </row>
    <row r="244" spans="1:16">
      <c r="A244" t="s">
        <v>15</v>
      </c>
      <c r="B244" t="s">
        <v>16</v>
      </c>
      <c r="C244" s="2">
        <v>68507.289999999994</v>
      </c>
      <c r="D244" s="1">
        <v>45824</v>
      </c>
      <c r="E244" s="1">
        <v>45824</v>
      </c>
      <c r="H244" t="s">
        <v>592</v>
      </c>
      <c r="I244" t="s">
        <v>38</v>
      </c>
      <c r="J244" t="s">
        <v>39</v>
      </c>
      <c r="K244" t="s">
        <v>657</v>
      </c>
      <c r="L244" t="s">
        <v>41</v>
      </c>
      <c r="M244" s="3">
        <v>92363.02</v>
      </c>
      <c r="N244" s="3">
        <v>0</v>
      </c>
      <c r="P244" t="s">
        <v>23</v>
      </c>
    </row>
    <row r="245" spans="1:16">
      <c r="A245" t="s">
        <v>15</v>
      </c>
      <c r="B245" t="s">
        <v>16</v>
      </c>
      <c r="C245" s="2">
        <v>68507.289999999994</v>
      </c>
      <c r="D245" s="1">
        <v>45826</v>
      </c>
      <c r="E245" s="1">
        <v>45826</v>
      </c>
      <c r="F245" t="s">
        <v>658</v>
      </c>
      <c r="H245" t="s">
        <v>43</v>
      </c>
      <c r="I245" t="s">
        <v>44</v>
      </c>
      <c r="J245" t="s">
        <v>45</v>
      </c>
      <c r="K245" t="s">
        <v>659</v>
      </c>
      <c r="L245" t="s">
        <v>47</v>
      </c>
      <c r="M245" s="3">
        <v>0</v>
      </c>
      <c r="N245" s="3">
        <v>1748.43</v>
      </c>
      <c r="P245" t="s">
        <v>23</v>
      </c>
    </row>
    <row r="246" spans="1:16">
      <c r="A246" t="s">
        <v>15</v>
      </c>
      <c r="B246" t="s">
        <v>16</v>
      </c>
      <c r="C246" s="2">
        <v>68507.289999999994</v>
      </c>
      <c r="D246" s="1">
        <v>45826</v>
      </c>
      <c r="E246" s="1">
        <v>45826</v>
      </c>
      <c r="F246" t="s">
        <v>660</v>
      </c>
      <c r="H246" t="s">
        <v>43</v>
      </c>
      <c r="I246" t="s">
        <v>106</v>
      </c>
      <c r="J246" t="s">
        <v>107</v>
      </c>
      <c r="K246" t="s">
        <v>661</v>
      </c>
      <c r="L246" t="s">
        <v>47</v>
      </c>
      <c r="M246" s="3">
        <v>0</v>
      </c>
      <c r="N246" s="3">
        <v>3564.89</v>
      </c>
      <c r="P246" t="s">
        <v>23</v>
      </c>
    </row>
    <row r="247" spans="1:16">
      <c r="A247" t="s">
        <v>15</v>
      </c>
      <c r="B247" t="s">
        <v>16</v>
      </c>
      <c r="C247" s="2">
        <v>68507.289999999994</v>
      </c>
      <c r="D247" s="1">
        <v>45826</v>
      </c>
      <c r="E247" s="1">
        <v>45826</v>
      </c>
      <c r="F247" t="s">
        <v>662</v>
      </c>
      <c r="H247" t="s">
        <v>43</v>
      </c>
      <c r="I247" t="s">
        <v>184</v>
      </c>
      <c r="J247" t="s">
        <v>185</v>
      </c>
      <c r="K247" t="s">
        <v>663</v>
      </c>
      <c r="L247" t="s">
        <v>47</v>
      </c>
      <c r="M247" s="3">
        <v>0</v>
      </c>
      <c r="N247" s="3">
        <v>2304.8000000000002</v>
      </c>
      <c r="P247" t="s">
        <v>23</v>
      </c>
    </row>
    <row r="248" spans="1:16">
      <c r="A248" t="s">
        <v>15</v>
      </c>
      <c r="B248" t="s">
        <v>16</v>
      </c>
      <c r="C248" s="2">
        <v>68507.289999999994</v>
      </c>
      <c r="D248" s="1">
        <v>45826</v>
      </c>
      <c r="E248" s="1">
        <v>45826</v>
      </c>
      <c r="F248" t="s">
        <v>664</v>
      </c>
      <c r="H248" t="s">
        <v>43</v>
      </c>
      <c r="I248" t="s">
        <v>184</v>
      </c>
      <c r="J248" t="s">
        <v>185</v>
      </c>
      <c r="K248" t="s">
        <v>665</v>
      </c>
      <c r="L248" t="s">
        <v>47</v>
      </c>
      <c r="M248" s="3">
        <v>0</v>
      </c>
      <c r="N248" s="3">
        <v>19791.98</v>
      </c>
      <c r="P248" t="s">
        <v>23</v>
      </c>
    </row>
    <row r="249" spans="1:16">
      <c r="A249" t="s">
        <v>15</v>
      </c>
      <c r="B249" t="s">
        <v>16</v>
      </c>
      <c r="C249" s="2">
        <v>68507.289999999994</v>
      </c>
      <c r="D249" s="1">
        <v>45827</v>
      </c>
      <c r="E249" s="1">
        <v>45827</v>
      </c>
      <c r="F249" t="s">
        <v>666</v>
      </c>
      <c r="H249" t="s">
        <v>43</v>
      </c>
      <c r="I249" t="s">
        <v>253</v>
      </c>
      <c r="J249" t="s">
        <v>254</v>
      </c>
      <c r="K249" t="s">
        <v>667</v>
      </c>
      <c r="L249" t="s">
        <v>47</v>
      </c>
      <c r="M249" s="3">
        <v>0</v>
      </c>
      <c r="N249" s="3">
        <v>2296.19</v>
      </c>
      <c r="P249" t="s">
        <v>23</v>
      </c>
    </row>
    <row r="250" spans="1:16">
      <c r="A250" t="s">
        <v>15</v>
      </c>
      <c r="B250" t="s">
        <v>16</v>
      </c>
      <c r="C250" s="2">
        <v>68507.289999999994</v>
      </c>
      <c r="D250" s="1">
        <v>45827</v>
      </c>
      <c r="E250" s="1">
        <v>45827</v>
      </c>
      <c r="F250" t="s">
        <v>668</v>
      </c>
      <c r="H250" t="s">
        <v>43</v>
      </c>
      <c r="I250" t="s">
        <v>669</v>
      </c>
      <c r="J250" t="s">
        <v>670</v>
      </c>
      <c r="K250" t="s">
        <v>671</v>
      </c>
      <c r="L250" t="s">
        <v>47</v>
      </c>
      <c r="M250" s="3">
        <v>0</v>
      </c>
      <c r="N250" s="3">
        <v>1435.13</v>
      </c>
      <c r="P250" t="s">
        <v>23</v>
      </c>
    </row>
    <row r="251" spans="1:16">
      <c r="A251" t="s">
        <v>15</v>
      </c>
      <c r="B251" t="s">
        <v>16</v>
      </c>
      <c r="C251" s="2">
        <v>68507.289999999994</v>
      </c>
      <c r="D251" s="1">
        <v>45830</v>
      </c>
      <c r="E251" s="1">
        <v>45830</v>
      </c>
      <c r="H251" t="s">
        <v>70</v>
      </c>
      <c r="I251" t="s">
        <v>69</v>
      </c>
      <c r="J251" t="s">
        <v>70</v>
      </c>
      <c r="K251" t="s">
        <v>672</v>
      </c>
      <c r="L251" t="s">
        <v>22</v>
      </c>
      <c r="M251" s="3">
        <v>71.739999999999995</v>
      </c>
      <c r="N251" s="3">
        <v>0</v>
      </c>
      <c r="P251" t="s">
        <v>23</v>
      </c>
    </row>
    <row r="252" spans="1:16">
      <c r="A252" t="s">
        <v>15</v>
      </c>
      <c r="B252" t="s">
        <v>16</v>
      </c>
      <c r="C252" s="2">
        <v>68507.289999999994</v>
      </c>
      <c r="D252" s="1">
        <v>45830</v>
      </c>
      <c r="E252" s="1">
        <v>45830</v>
      </c>
      <c r="F252" t="s">
        <v>126</v>
      </c>
      <c r="H252" t="s">
        <v>127</v>
      </c>
      <c r="I252" t="s">
        <v>128</v>
      </c>
      <c r="J252" t="s">
        <v>129</v>
      </c>
      <c r="K252" t="s">
        <v>673</v>
      </c>
      <c r="L252" t="s">
        <v>22</v>
      </c>
      <c r="M252" s="3">
        <v>0</v>
      </c>
      <c r="N252" s="3">
        <v>14632.71</v>
      </c>
      <c r="P252" t="s">
        <v>23</v>
      </c>
    </row>
    <row r="253" spans="1:16">
      <c r="A253" t="s">
        <v>15</v>
      </c>
      <c r="B253" t="s">
        <v>16</v>
      </c>
      <c r="C253" s="2">
        <v>68507.289999999994</v>
      </c>
      <c r="D253" s="1">
        <v>45835</v>
      </c>
      <c r="E253" s="1">
        <v>45835</v>
      </c>
      <c r="F253" t="s">
        <v>119</v>
      </c>
      <c r="H253" t="s">
        <v>491</v>
      </c>
      <c r="I253" t="s">
        <v>121</v>
      </c>
      <c r="J253" t="s">
        <v>122</v>
      </c>
      <c r="K253" t="s">
        <v>674</v>
      </c>
      <c r="L253" t="s">
        <v>22</v>
      </c>
      <c r="M253" s="3">
        <v>0</v>
      </c>
      <c r="N253" s="3">
        <v>16810.14</v>
      </c>
      <c r="P253" t="s">
        <v>23</v>
      </c>
    </row>
    <row r="254" spans="1:16">
      <c r="A254" t="s">
        <v>15</v>
      </c>
      <c r="B254" t="s">
        <v>16</v>
      </c>
      <c r="C254" s="2">
        <v>68507.289999999994</v>
      </c>
      <c r="D254" s="1">
        <v>45837</v>
      </c>
      <c r="E254" s="1">
        <v>45837</v>
      </c>
      <c r="F254" t="s">
        <v>675</v>
      </c>
      <c r="H254" t="s">
        <v>385</v>
      </c>
      <c r="I254" t="s">
        <v>285</v>
      </c>
      <c r="J254" t="s">
        <v>286</v>
      </c>
      <c r="K254" t="s">
        <v>676</v>
      </c>
      <c r="L254" t="s">
        <v>144</v>
      </c>
      <c r="M254" s="3">
        <v>3652.71</v>
      </c>
      <c r="N254" s="3">
        <v>0</v>
      </c>
      <c r="P254" t="s">
        <v>23</v>
      </c>
    </row>
    <row r="255" spans="1:16">
      <c r="A255" t="s">
        <v>15</v>
      </c>
      <c r="B255" t="s">
        <v>16</v>
      </c>
      <c r="C255" s="2">
        <v>68507.289999999994</v>
      </c>
      <c r="D255" s="1">
        <v>45837</v>
      </c>
      <c r="E255" s="1">
        <v>45837</v>
      </c>
      <c r="F255" t="s">
        <v>677</v>
      </c>
      <c r="H255" t="s">
        <v>101</v>
      </c>
      <c r="I255" t="s">
        <v>74</v>
      </c>
      <c r="J255" t="s">
        <v>75</v>
      </c>
      <c r="K255" t="s">
        <v>678</v>
      </c>
      <c r="L255" t="s">
        <v>47</v>
      </c>
      <c r="M255" s="3">
        <v>0</v>
      </c>
      <c r="N255" s="3">
        <v>79.91</v>
      </c>
      <c r="P255" t="s">
        <v>23</v>
      </c>
    </row>
    <row r="256" spans="1:16">
      <c r="A256" t="s">
        <v>15</v>
      </c>
      <c r="B256" t="s">
        <v>16</v>
      </c>
      <c r="C256" s="2">
        <v>68507.289999999994</v>
      </c>
      <c r="D256" s="1">
        <v>45838</v>
      </c>
      <c r="E256" s="1">
        <v>45838</v>
      </c>
      <c r="F256" t="s">
        <v>679</v>
      </c>
      <c r="H256" t="s">
        <v>43</v>
      </c>
      <c r="I256" t="s">
        <v>680</v>
      </c>
      <c r="J256" t="s">
        <v>681</v>
      </c>
      <c r="K256" t="s">
        <v>682</v>
      </c>
      <c r="L256" t="s">
        <v>47</v>
      </c>
      <c r="M256" s="3">
        <v>0</v>
      </c>
      <c r="N256" s="3">
        <v>1923.35</v>
      </c>
      <c r="P256" t="s">
        <v>23</v>
      </c>
    </row>
    <row r="257" spans="1:16">
      <c r="A257" t="s">
        <v>15</v>
      </c>
      <c r="B257" t="s">
        <v>16</v>
      </c>
      <c r="C257" s="2">
        <v>68507.289999999994</v>
      </c>
      <c r="D257" s="1">
        <v>45838</v>
      </c>
      <c r="E257" s="1">
        <v>45838</v>
      </c>
      <c r="H257" t="s">
        <v>683</v>
      </c>
      <c r="I257" t="s">
        <v>197</v>
      </c>
      <c r="J257" t="s">
        <v>198</v>
      </c>
      <c r="K257" t="s">
        <v>684</v>
      </c>
      <c r="L257" t="s">
        <v>22</v>
      </c>
      <c r="M257" s="3">
        <v>0</v>
      </c>
      <c r="N257" s="3">
        <v>137.51</v>
      </c>
      <c r="P257" t="s">
        <v>23</v>
      </c>
    </row>
    <row r="258" spans="1:16">
      <c r="A258" t="s">
        <v>15</v>
      </c>
      <c r="B258" t="s">
        <v>16</v>
      </c>
      <c r="C258" s="2">
        <v>68507.289999999994</v>
      </c>
      <c r="D258" s="1">
        <v>45838</v>
      </c>
      <c r="E258" s="1">
        <v>45838</v>
      </c>
      <c r="F258" t="s">
        <v>685</v>
      </c>
      <c r="H258" t="s">
        <v>686</v>
      </c>
      <c r="I258" t="s">
        <v>193</v>
      </c>
      <c r="J258" t="s">
        <v>194</v>
      </c>
      <c r="K258" t="s">
        <v>687</v>
      </c>
      <c r="L258" t="s">
        <v>41</v>
      </c>
      <c r="M258" s="3">
        <v>300000</v>
      </c>
      <c r="N258" s="3">
        <v>0</v>
      </c>
      <c r="P258" t="s">
        <v>23</v>
      </c>
    </row>
    <row r="259" spans="1:16">
      <c r="A259" t="s">
        <v>15</v>
      </c>
      <c r="B259" t="s">
        <v>16</v>
      </c>
      <c r="C259" s="2">
        <v>68507.289999999994</v>
      </c>
      <c r="D259" s="1">
        <v>45838</v>
      </c>
      <c r="E259" s="1">
        <v>45838</v>
      </c>
      <c r="F259" t="s">
        <v>688</v>
      </c>
      <c r="H259" t="s">
        <v>43</v>
      </c>
      <c r="I259" t="s">
        <v>689</v>
      </c>
      <c r="J259" t="s">
        <v>690</v>
      </c>
      <c r="K259" t="s">
        <v>691</v>
      </c>
      <c r="L259" t="s">
        <v>47</v>
      </c>
      <c r="M259" s="3">
        <v>0</v>
      </c>
      <c r="N259" s="3">
        <v>1008.84</v>
      </c>
      <c r="P259" t="s">
        <v>23</v>
      </c>
    </row>
    <row r="260" spans="1:16">
      <c r="A260" t="s">
        <v>15</v>
      </c>
      <c r="B260" t="s">
        <v>16</v>
      </c>
      <c r="C260" s="2">
        <v>68507.289999999994</v>
      </c>
      <c r="D260" s="1">
        <v>45838</v>
      </c>
      <c r="E260" s="1">
        <v>45838</v>
      </c>
      <c r="F260" t="s">
        <v>692</v>
      </c>
      <c r="H260" t="s">
        <v>43</v>
      </c>
      <c r="I260" t="s">
        <v>93</v>
      </c>
      <c r="J260" t="s">
        <v>94</v>
      </c>
      <c r="K260" t="s">
        <v>693</v>
      </c>
      <c r="L260" t="s">
        <v>47</v>
      </c>
      <c r="M260" s="3">
        <v>0</v>
      </c>
      <c r="N260" s="3">
        <v>1461.08</v>
      </c>
      <c r="P260" t="s">
        <v>23</v>
      </c>
    </row>
    <row r="261" spans="1:16">
      <c r="A261" t="s">
        <v>15</v>
      </c>
      <c r="B261" t="s">
        <v>16</v>
      </c>
      <c r="C261" s="2">
        <v>68507.289999999994</v>
      </c>
      <c r="D261" s="1">
        <v>45838</v>
      </c>
      <c r="E261" s="1">
        <v>45838</v>
      </c>
      <c r="F261" t="s">
        <v>694</v>
      </c>
      <c r="H261" t="s">
        <v>43</v>
      </c>
      <c r="I261" t="s">
        <v>93</v>
      </c>
      <c r="J261" t="s">
        <v>94</v>
      </c>
      <c r="K261" t="s">
        <v>695</v>
      </c>
      <c r="L261" t="s">
        <v>47</v>
      </c>
      <c r="M261" s="3">
        <v>0</v>
      </c>
      <c r="N261" s="3">
        <v>1217.57</v>
      </c>
      <c r="P261" t="s">
        <v>23</v>
      </c>
    </row>
    <row r="262" spans="1:16">
      <c r="A262" t="s">
        <v>15</v>
      </c>
      <c r="B262" t="s">
        <v>16</v>
      </c>
      <c r="C262" s="2">
        <v>68507.289999999994</v>
      </c>
      <c r="D262" s="1">
        <v>45838</v>
      </c>
      <c r="E262" s="1">
        <v>45838</v>
      </c>
      <c r="F262" t="s">
        <v>696</v>
      </c>
      <c r="H262" t="s">
        <v>43</v>
      </c>
      <c r="I262" t="s">
        <v>697</v>
      </c>
      <c r="J262" t="s">
        <v>698</v>
      </c>
      <c r="K262" t="s">
        <v>699</v>
      </c>
      <c r="L262" t="s">
        <v>47</v>
      </c>
      <c r="M262" s="3">
        <v>0</v>
      </c>
      <c r="N262" s="3">
        <v>23072.36</v>
      </c>
      <c r="P262" t="s">
        <v>23</v>
      </c>
    </row>
    <row r="263" spans="1:16">
      <c r="A263" t="s">
        <v>15</v>
      </c>
      <c r="B263" t="s">
        <v>16</v>
      </c>
      <c r="C263" s="2">
        <v>68507.289999999994</v>
      </c>
      <c r="D263" s="1">
        <v>45838</v>
      </c>
      <c r="E263" s="1">
        <v>45838</v>
      </c>
      <c r="F263" t="s">
        <v>700</v>
      </c>
      <c r="H263" t="s">
        <v>43</v>
      </c>
      <c r="I263" t="s">
        <v>697</v>
      </c>
      <c r="J263" t="s">
        <v>698</v>
      </c>
      <c r="K263" t="s">
        <v>701</v>
      </c>
      <c r="L263" t="s">
        <v>47</v>
      </c>
      <c r="M263" s="3">
        <v>0</v>
      </c>
      <c r="N263" s="3">
        <v>77257.649999999994</v>
      </c>
      <c r="P263" t="s">
        <v>23</v>
      </c>
    </row>
    <row r="264" spans="1:16">
      <c r="A264" t="s">
        <v>15</v>
      </c>
      <c r="B264" t="s">
        <v>16</v>
      </c>
      <c r="C264" s="2">
        <v>68507.289999999994</v>
      </c>
      <c r="D264" s="1">
        <v>45838</v>
      </c>
      <c r="E264" s="1">
        <v>45838</v>
      </c>
      <c r="F264" t="s">
        <v>702</v>
      </c>
      <c r="H264" t="s">
        <v>43</v>
      </c>
      <c r="I264" t="s">
        <v>697</v>
      </c>
      <c r="J264" t="s">
        <v>698</v>
      </c>
      <c r="K264" t="s">
        <v>703</v>
      </c>
      <c r="L264" t="s">
        <v>47</v>
      </c>
      <c r="M264" s="3">
        <v>0</v>
      </c>
      <c r="N264" s="3">
        <v>77222.509999999995</v>
      </c>
      <c r="P264" t="s">
        <v>23</v>
      </c>
    </row>
    <row r="265" spans="1:16">
      <c r="A265" t="s">
        <v>15</v>
      </c>
      <c r="B265" t="s">
        <v>16</v>
      </c>
      <c r="C265" s="2">
        <v>68507.289999999994</v>
      </c>
      <c r="D265" s="1">
        <v>45838</v>
      </c>
      <c r="E265" s="1">
        <v>45838</v>
      </c>
      <c r="F265" t="s">
        <v>704</v>
      </c>
      <c r="H265" t="s">
        <v>43</v>
      </c>
      <c r="I265" t="s">
        <v>697</v>
      </c>
      <c r="J265" t="s">
        <v>698</v>
      </c>
      <c r="K265" t="s">
        <v>705</v>
      </c>
      <c r="L265" t="s">
        <v>47</v>
      </c>
      <c r="M265" s="3">
        <v>0</v>
      </c>
      <c r="N265" s="3">
        <v>82001.3</v>
      </c>
      <c r="P265" t="s">
        <v>23</v>
      </c>
    </row>
    <row r="266" spans="1:16">
      <c r="A266" t="s">
        <v>15</v>
      </c>
      <c r="B266" t="s">
        <v>16</v>
      </c>
      <c r="C266" s="2">
        <v>68507.289999999994</v>
      </c>
      <c r="D266" s="1">
        <v>45838</v>
      </c>
      <c r="E266" s="1">
        <v>45838</v>
      </c>
      <c r="F266" t="s">
        <v>706</v>
      </c>
      <c r="H266" t="s">
        <v>43</v>
      </c>
      <c r="I266" t="s">
        <v>443</v>
      </c>
      <c r="J266" t="s">
        <v>444</v>
      </c>
      <c r="K266" t="s">
        <v>707</v>
      </c>
      <c r="L266" t="s">
        <v>47</v>
      </c>
      <c r="M266" s="3">
        <v>0</v>
      </c>
      <c r="N266" s="3">
        <v>347.88</v>
      </c>
      <c r="P266" t="s">
        <v>23</v>
      </c>
    </row>
    <row r="267" spans="1:16">
      <c r="A267" t="s">
        <v>15</v>
      </c>
      <c r="B267" t="s">
        <v>16</v>
      </c>
      <c r="C267" s="2">
        <v>68507.289999999994</v>
      </c>
      <c r="D267" s="1">
        <v>45838</v>
      </c>
      <c r="E267" s="1">
        <v>45838</v>
      </c>
      <c r="F267" t="s">
        <v>708</v>
      </c>
      <c r="H267" t="s">
        <v>43</v>
      </c>
      <c r="I267" t="s">
        <v>709</v>
      </c>
      <c r="J267" t="s">
        <v>710</v>
      </c>
      <c r="K267" t="s">
        <v>711</v>
      </c>
      <c r="L267" t="s">
        <v>47</v>
      </c>
      <c r="M267" s="3">
        <v>0</v>
      </c>
      <c r="N267" s="3">
        <v>1482.99</v>
      </c>
      <c r="P267" t="s">
        <v>23</v>
      </c>
    </row>
    <row r="268" spans="1:16">
      <c r="A268" t="s">
        <v>15</v>
      </c>
      <c r="B268" t="s">
        <v>16</v>
      </c>
      <c r="C268" s="2">
        <v>68507.289999999994</v>
      </c>
      <c r="D268" s="1">
        <v>45838</v>
      </c>
      <c r="E268" s="1">
        <v>45838</v>
      </c>
      <c r="F268" t="s">
        <v>712</v>
      </c>
      <c r="H268" t="s">
        <v>43</v>
      </c>
      <c r="I268" t="s">
        <v>713</v>
      </c>
      <c r="J268" t="s">
        <v>714</v>
      </c>
      <c r="K268" t="s">
        <v>715</v>
      </c>
      <c r="L268" t="s">
        <v>47</v>
      </c>
      <c r="M268" s="3">
        <v>0</v>
      </c>
      <c r="N268" s="3">
        <v>550.12</v>
      </c>
      <c r="P268" t="s">
        <v>23</v>
      </c>
    </row>
    <row r="269" spans="1:16">
      <c r="A269" t="s">
        <v>15</v>
      </c>
      <c r="B269" t="s">
        <v>16</v>
      </c>
      <c r="C269" s="2">
        <v>68507.289999999994</v>
      </c>
      <c r="D269" s="1">
        <v>45838</v>
      </c>
      <c r="E269" s="1">
        <v>45838</v>
      </c>
      <c r="F269" t="s">
        <v>716</v>
      </c>
      <c r="H269" t="s">
        <v>43</v>
      </c>
      <c r="I269" t="s">
        <v>717</v>
      </c>
      <c r="J269" t="s">
        <v>718</v>
      </c>
      <c r="K269" t="s">
        <v>719</v>
      </c>
      <c r="L269" t="s">
        <v>47</v>
      </c>
      <c r="M269" s="3">
        <v>0</v>
      </c>
      <c r="N269" s="3">
        <v>904.48</v>
      </c>
      <c r="P269" t="s">
        <v>23</v>
      </c>
    </row>
    <row r="270" spans="1:16">
      <c r="A270" t="s">
        <v>15</v>
      </c>
      <c r="B270" t="s">
        <v>16</v>
      </c>
      <c r="C270" s="2">
        <v>68507.289999999994</v>
      </c>
      <c r="D270" s="1">
        <v>45838</v>
      </c>
      <c r="E270" s="1">
        <v>45838</v>
      </c>
      <c r="F270" t="s">
        <v>720</v>
      </c>
      <c r="H270" t="s">
        <v>43</v>
      </c>
      <c r="I270" t="s">
        <v>522</v>
      </c>
      <c r="J270" t="s">
        <v>523</v>
      </c>
      <c r="K270" t="s">
        <v>721</v>
      </c>
      <c r="L270" t="s">
        <v>47</v>
      </c>
      <c r="M270" s="3">
        <v>0</v>
      </c>
      <c r="N270" s="3">
        <v>2509.4299999999998</v>
      </c>
      <c r="P270" t="s">
        <v>23</v>
      </c>
    </row>
    <row r="271" spans="1:16">
      <c r="A271" t="s">
        <v>193</v>
      </c>
      <c r="B271" t="s">
        <v>194</v>
      </c>
      <c r="C271" s="2">
        <v>32200.54</v>
      </c>
      <c r="D271" s="1">
        <v>45659</v>
      </c>
      <c r="E271" s="1">
        <v>45659</v>
      </c>
      <c r="F271" t="s">
        <v>17</v>
      </c>
      <c r="H271" t="s">
        <v>722</v>
      </c>
      <c r="I271" t="s">
        <v>723</v>
      </c>
      <c r="J271" t="s">
        <v>724</v>
      </c>
      <c r="K271" t="s">
        <v>725</v>
      </c>
      <c r="L271" t="s">
        <v>22</v>
      </c>
      <c r="M271" s="3">
        <v>0</v>
      </c>
      <c r="N271" s="3">
        <v>3157.56</v>
      </c>
      <c r="P271" t="s">
        <v>23</v>
      </c>
    </row>
    <row r="272" spans="1:16">
      <c r="A272" t="s">
        <v>193</v>
      </c>
      <c r="B272" t="s">
        <v>194</v>
      </c>
      <c r="C272" s="2">
        <v>32200.54</v>
      </c>
      <c r="D272" s="1">
        <v>45659</v>
      </c>
      <c r="E272" s="1">
        <v>45659</v>
      </c>
      <c r="F272" t="s">
        <v>28</v>
      </c>
      <c r="H272" t="s">
        <v>726</v>
      </c>
      <c r="I272" t="s">
        <v>727</v>
      </c>
      <c r="J272" t="s">
        <v>728</v>
      </c>
      <c r="K272" t="s">
        <v>729</v>
      </c>
      <c r="L272" t="s">
        <v>22</v>
      </c>
      <c r="M272" s="3">
        <v>0</v>
      </c>
      <c r="N272" s="3">
        <v>6094.07</v>
      </c>
      <c r="P272" t="s">
        <v>23</v>
      </c>
    </row>
    <row r="273" spans="1:16">
      <c r="A273" t="s">
        <v>193</v>
      </c>
      <c r="B273" t="s">
        <v>194</v>
      </c>
      <c r="C273" s="2">
        <v>32200.54</v>
      </c>
      <c r="D273" s="1">
        <v>45659</v>
      </c>
      <c r="E273" s="1">
        <v>45659</v>
      </c>
      <c r="F273" t="s">
        <v>730</v>
      </c>
      <c r="H273" t="s">
        <v>43</v>
      </c>
      <c r="I273" t="s">
        <v>731</v>
      </c>
      <c r="J273" t="s">
        <v>732</v>
      </c>
      <c r="K273" t="s">
        <v>733</v>
      </c>
      <c r="L273" t="s">
        <v>47</v>
      </c>
      <c r="M273" s="3">
        <v>0</v>
      </c>
      <c r="N273" s="3">
        <v>8250</v>
      </c>
      <c r="P273" t="s">
        <v>23</v>
      </c>
    </row>
    <row r="274" spans="1:16">
      <c r="A274" t="s">
        <v>193</v>
      </c>
      <c r="B274" t="s">
        <v>194</v>
      </c>
      <c r="C274" s="2">
        <v>32200.54</v>
      </c>
      <c r="D274" s="1">
        <v>45659</v>
      </c>
      <c r="E274" s="1">
        <v>45659</v>
      </c>
      <c r="H274" t="s">
        <v>734</v>
      </c>
      <c r="I274" t="s">
        <v>381</v>
      </c>
      <c r="J274" t="s">
        <v>382</v>
      </c>
      <c r="K274" t="s">
        <v>735</v>
      </c>
      <c r="L274" t="s">
        <v>22</v>
      </c>
      <c r="M274" s="3">
        <v>0</v>
      </c>
      <c r="N274" s="3">
        <v>0.36</v>
      </c>
      <c r="P274" t="s">
        <v>23</v>
      </c>
    </row>
    <row r="275" spans="1:16">
      <c r="A275" t="s">
        <v>193</v>
      </c>
      <c r="B275" t="s">
        <v>194</v>
      </c>
      <c r="C275" s="2">
        <v>32200.54</v>
      </c>
      <c r="D275" s="1">
        <v>45662</v>
      </c>
      <c r="E275" s="1">
        <v>45662</v>
      </c>
      <c r="F275" t="s">
        <v>736</v>
      </c>
      <c r="H275" t="s">
        <v>737</v>
      </c>
      <c r="I275" t="s">
        <v>738</v>
      </c>
      <c r="J275" t="s">
        <v>739</v>
      </c>
      <c r="K275" t="s">
        <v>740</v>
      </c>
      <c r="L275" t="s">
        <v>144</v>
      </c>
      <c r="M275" s="3">
        <v>61103.02</v>
      </c>
      <c r="N275" s="3">
        <v>0</v>
      </c>
      <c r="P275" t="s">
        <v>23</v>
      </c>
    </row>
    <row r="276" spans="1:16">
      <c r="A276" t="s">
        <v>193</v>
      </c>
      <c r="B276" t="s">
        <v>194</v>
      </c>
      <c r="C276" s="2">
        <v>32200.54</v>
      </c>
      <c r="D276" s="1">
        <v>45666</v>
      </c>
      <c r="E276" s="1">
        <v>45666</v>
      </c>
      <c r="F276" t="s">
        <v>741</v>
      </c>
      <c r="H276" t="s">
        <v>43</v>
      </c>
      <c r="I276" t="s">
        <v>742</v>
      </c>
      <c r="J276" t="s">
        <v>743</v>
      </c>
      <c r="K276" t="s">
        <v>744</v>
      </c>
      <c r="L276" t="s">
        <v>47</v>
      </c>
      <c r="M276" s="3">
        <v>0</v>
      </c>
      <c r="N276" s="3">
        <v>10000</v>
      </c>
      <c r="P276" t="s">
        <v>23</v>
      </c>
    </row>
    <row r="277" spans="1:16">
      <c r="A277" t="s">
        <v>193</v>
      </c>
      <c r="B277" t="s">
        <v>194</v>
      </c>
      <c r="C277" s="2">
        <v>32200.54</v>
      </c>
      <c r="D277" s="1">
        <v>45670</v>
      </c>
      <c r="E277" s="1">
        <v>45670</v>
      </c>
      <c r="F277" t="s">
        <v>745</v>
      </c>
      <c r="H277" t="s">
        <v>746</v>
      </c>
      <c r="I277" t="s">
        <v>738</v>
      </c>
      <c r="J277" t="s">
        <v>739</v>
      </c>
      <c r="K277" t="s">
        <v>747</v>
      </c>
      <c r="L277" t="s">
        <v>144</v>
      </c>
      <c r="M277" s="3">
        <v>325000</v>
      </c>
      <c r="N277" s="3">
        <v>0</v>
      </c>
      <c r="P277" t="s">
        <v>23</v>
      </c>
    </row>
    <row r="278" spans="1:16">
      <c r="A278" t="s">
        <v>193</v>
      </c>
      <c r="B278" t="s">
        <v>194</v>
      </c>
      <c r="C278" s="2">
        <v>32200.54</v>
      </c>
      <c r="D278" s="1">
        <v>45672</v>
      </c>
      <c r="E278" s="1">
        <v>45672</v>
      </c>
      <c r="F278" t="s">
        <v>748</v>
      </c>
      <c r="H278" t="s">
        <v>43</v>
      </c>
      <c r="I278" t="s">
        <v>749</v>
      </c>
      <c r="J278" t="s">
        <v>750</v>
      </c>
      <c r="K278" t="s">
        <v>751</v>
      </c>
      <c r="L278" t="s">
        <v>47</v>
      </c>
      <c r="M278" s="3">
        <v>0</v>
      </c>
      <c r="N278" s="3">
        <v>3287.33</v>
      </c>
      <c r="P278" t="s">
        <v>23</v>
      </c>
    </row>
    <row r="279" spans="1:16">
      <c r="A279" t="s">
        <v>193</v>
      </c>
      <c r="B279" t="s">
        <v>194</v>
      </c>
      <c r="C279" s="2">
        <v>32200.54</v>
      </c>
      <c r="D279" s="1">
        <v>45672</v>
      </c>
      <c r="E279" s="1">
        <v>45672</v>
      </c>
      <c r="F279" t="s">
        <v>752</v>
      </c>
      <c r="H279" t="s">
        <v>43</v>
      </c>
      <c r="I279" t="s">
        <v>753</v>
      </c>
      <c r="J279" t="s">
        <v>754</v>
      </c>
      <c r="K279" t="s">
        <v>755</v>
      </c>
      <c r="L279" t="s">
        <v>47</v>
      </c>
      <c r="M279" s="3">
        <v>0</v>
      </c>
      <c r="N279" s="3">
        <v>4000</v>
      </c>
      <c r="P279" t="s">
        <v>23</v>
      </c>
    </row>
    <row r="280" spans="1:16">
      <c r="A280" t="s">
        <v>193</v>
      </c>
      <c r="B280" t="s">
        <v>194</v>
      </c>
      <c r="C280" s="2">
        <v>32200.54</v>
      </c>
      <c r="D280" s="1">
        <v>45672</v>
      </c>
      <c r="E280" s="1">
        <v>45672</v>
      </c>
      <c r="F280" t="s">
        <v>756</v>
      </c>
      <c r="H280" t="s">
        <v>43</v>
      </c>
      <c r="I280" t="s">
        <v>757</v>
      </c>
      <c r="J280" t="s">
        <v>758</v>
      </c>
      <c r="K280" t="s">
        <v>759</v>
      </c>
      <c r="L280" t="s">
        <v>47</v>
      </c>
      <c r="M280" s="3">
        <v>0</v>
      </c>
      <c r="N280" s="3">
        <v>10400</v>
      </c>
      <c r="P280" t="s">
        <v>23</v>
      </c>
    </row>
    <row r="281" spans="1:16">
      <c r="A281" t="s">
        <v>193</v>
      </c>
      <c r="B281" t="s">
        <v>194</v>
      </c>
      <c r="C281" s="2">
        <v>32200.54</v>
      </c>
      <c r="D281" s="1">
        <v>45672</v>
      </c>
      <c r="E281" s="1">
        <v>45672</v>
      </c>
      <c r="F281" t="s">
        <v>760</v>
      </c>
      <c r="H281" t="s">
        <v>43</v>
      </c>
      <c r="I281" t="s">
        <v>761</v>
      </c>
      <c r="J281" t="s">
        <v>762</v>
      </c>
      <c r="K281" t="s">
        <v>763</v>
      </c>
      <c r="L281" t="s">
        <v>47</v>
      </c>
      <c r="M281" s="3">
        <v>0</v>
      </c>
      <c r="N281" s="3">
        <v>14750</v>
      </c>
      <c r="P281" t="s">
        <v>23</v>
      </c>
    </row>
    <row r="282" spans="1:16">
      <c r="A282" t="s">
        <v>193</v>
      </c>
      <c r="B282" t="s">
        <v>194</v>
      </c>
      <c r="C282" s="2">
        <v>32200.54</v>
      </c>
      <c r="D282" s="1">
        <v>45677</v>
      </c>
      <c r="E282" s="1">
        <v>45677</v>
      </c>
      <c r="F282" t="s">
        <v>764</v>
      </c>
      <c r="H282" t="s">
        <v>765</v>
      </c>
      <c r="I282" t="s">
        <v>738</v>
      </c>
      <c r="J282" t="s">
        <v>739</v>
      </c>
      <c r="K282" t="s">
        <v>766</v>
      </c>
      <c r="L282" t="s">
        <v>144</v>
      </c>
      <c r="M282" s="3">
        <v>463939.76</v>
      </c>
      <c r="N282" s="3">
        <v>0</v>
      </c>
      <c r="P282" t="s">
        <v>23</v>
      </c>
    </row>
    <row r="283" spans="1:16">
      <c r="A283" t="s">
        <v>193</v>
      </c>
      <c r="B283" t="s">
        <v>194</v>
      </c>
      <c r="C283" s="2">
        <v>32200.54</v>
      </c>
      <c r="D283" s="1">
        <v>45683</v>
      </c>
      <c r="E283" s="1">
        <v>45683</v>
      </c>
      <c r="F283" t="s">
        <v>24</v>
      </c>
      <c r="H283" t="s">
        <v>722</v>
      </c>
      <c r="I283" t="s">
        <v>767</v>
      </c>
      <c r="J283" t="s">
        <v>768</v>
      </c>
      <c r="K283" t="s">
        <v>769</v>
      </c>
      <c r="L283" t="s">
        <v>22</v>
      </c>
      <c r="M283" s="3">
        <v>0</v>
      </c>
      <c r="N283" s="3">
        <v>505</v>
      </c>
      <c r="P283" t="s">
        <v>23</v>
      </c>
    </row>
    <row r="284" spans="1:16">
      <c r="A284" t="s">
        <v>193</v>
      </c>
      <c r="B284" t="s">
        <v>194</v>
      </c>
      <c r="C284" s="2">
        <v>32200.54</v>
      </c>
      <c r="D284" s="1">
        <v>45687</v>
      </c>
      <c r="E284" s="1">
        <v>45687</v>
      </c>
      <c r="H284" t="s">
        <v>192</v>
      </c>
      <c r="I284" t="s">
        <v>15</v>
      </c>
      <c r="J284" t="s">
        <v>16</v>
      </c>
      <c r="K284" t="s">
        <v>195</v>
      </c>
      <c r="L284" t="s">
        <v>41</v>
      </c>
      <c r="M284" s="3">
        <v>0</v>
      </c>
      <c r="N284" s="3">
        <v>150000</v>
      </c>
      <c r="P284" t="s">
        <v>23</v>
      </c>
    </row>
    <row r="285" spans="1:16">
      <c r="A285" t="s">
        <v>193</v>
      </c>
      <c r="B285" t="s">
        <v>194</v>
      </c>
      <c r="C285" s="2">
        <v>32200.54</v>
      </c>
      <c r="D285" s="1">
        <v>45687</v>
      </c>
      <c r="E285" s="1">
        <v>45687</v>
      </c>
      <c r="F285" t="s">
        <v>770</v>
      </c>
      <c r="H285" t="s">
        <v>771</v>
      </c>
      <c r="I285" t="s">
        <v>772</v>
      </c>
      <c r="J285" t="s">
        <v>773</v>
      </c>
      <c r="K285" t="s">
        <v>774</v>
      </c>
      <c r="L285" t="s">
        <v>22</v>
      </c>
      <c r="M285" s="3">
        <v>0</v>
      </c>
      <c r="N285" s="3">
        <v>30000</v>
      </c>
      <c r="P285" t="s">
        <v>23</v>
      </c>
    </row>
    <row r="286" spans="1:16">
      <c r="A286" t="s">
        <v>193</v>
      </c>
      <c r="B286" t="s">
        <v>194</v>
      </c>
      <c r="C286" s="2">
        <v>32200.54</v>
      </c>
      <c r="D286" s="1">
        <v>45687</v>
      </c>
      <c r="E286" s="1">
        <v>45687</v>
      </c>
      <c r="F286" t="s">
        <v>775</v>
      </c>
      <c r="H286" t="s">
        <v>43</v>
      </c>
      <c r="I286" t="s">
        <v>776</v>
      </c>
      <c r="J286" t="s">
        <v>777</v>
      </c>
      <c r="K286" t="s">
        <v>778</v>
      </c>
      <c r="L286" t="s">
        <v>47</v>
      </c>
      <c r="M286" s="3">
        <v>0</v>
      </c>
      <c r="N286" s="3">
        <v>741.88</v>
      </c>
      <c r="P286" t="s">
        <v>23</v>
      </c>
    </row>
    <row r="287" spans="1:16">
      <c r="A287" t="s">
        <v>193</v>
      </c>
      <c r="B287" t="s">
        <v>194</v>
      </c>
      <c r="C287" s="2">
        <v>32200.54</v>
      </c>
      <c r="D287" s="1">
        <v>45687</v>
      </c>
      <c r="E287" s="1">
        <v>45687</v>
      </c>
      <c r="F287" t="s">
        <v>779</v>
      </c>
      <c r="H287" t="s">
        <v>43</v>
      </c>
      <c r="I287" t="s">
        <v>780</v>
      </c>
      <c r="J287" t="s">
        <v>781</v>
      </c>
      <c r="K287" t="s">
        <v>782</v>
      </c>
      <c r="L287" t="s">
        <v>47</v>
      </c>
      <c r="M287" s="3">
        <v>0</v>
      </c>
      <c r="N287" s="3">
        <v>1826.81</v>
      </c>
      <c r="P287" t="s">
        <v>23</v>
      </c>
    </row>
    <row r="288" spans="1:16">
      <c r="A288" t="s">
        <v>193</v>
      </c>
      <c r="B288" t="s">
        <v>194</v>
      </c>
      <c r="C288" s="2">
        <v>32200.54</v>
      </c>
      <c r="D288" s="1">
        <v>45690</v>
      </c>
      <c r="E288" s="1">
        <v>45690</v>
      </c>
      <c r="F288" t="s">
        <v>28</v>
      </c>
      <c r="H288" t="s">
        <v>722</v>
      </c>
      <c r="I288" t="s">
        <v>727</v>
      </c>
      <c r="J288" t="s">
        <v>728</v>
      </c>
      <c r="K288" t="s">
        <v>783</v>
      </c>
      <c r="L288" t="s">
        <v>22</v>
      </c>
      <c r="M288" s="3">
        <v>0</v>
      </c>
      <c r="N288" s="3">
        <v>311.05</v>
      </c>
      <c r="P288" t="s">
        <v>23</v>
      </c>
    </row>
    <row r="289" spans="1:16">
      <c r="A289" t="s">
        <v>193</v>
      </c>
      <c r="B289" t="s">
        <v>194</v>
      </c>
      <c r="C289" s="2">
        <v>32200.54</v>
      </c>
      <c r="D289" s="1">
        <v>45690</v>
      </c>
      <c r="E289" s="1">
        <v>45690</v>
      </c>
      <c r="F289" t="s">
        <v>17</v>
      </c>
      <c r="H289" t="s">
        <v>722</v>
      </c>
      <c r="I289" t="s">
        <v>723</v>
      </c>
      <c r="J289" t="s">
        <v>724</v>
      </c>
      <c r="K289" t="s">
        <v>784</v>
      </c>
      <c r="L289" t="s">
        <v>22</v>
      </c>
      <c r="M289" s="3">
        <v>0</v>
      </c>
      <c r="N289" s="3">
        <v>2703.71</v>
      </c>
      <c r="P289" t="s">
        <v>23</v>
      </c>
    </row>
    <row r="290" spans="1:16">
      <c r="A290" t="s">
        <v>193</v>
      </c>
      <c r="B290" t="s">
        <v>194</v>
      </c>
      <c r="C290" s="2">
        <v>32200.54</v>
      </c>
      <c r="D290" s="1">
        <v>45699</v>
      </c>
      <c r="E290" s="1">
        <v>45699</v>
      </c>
      <c r="F290" t="s">
        <v>785</v>
      </c>
      <c r="H290" t="s">
        <v>786</v>
      </c>
      <c r="I290" t="s">
        <v>787</v>
      </c>
      <c r="J290" t="s">
        <v>788</v>
      </c>
      <c r="K290" t="s">
        <v>789</v>
      </c>
      <c r="L290" t="s">
        <v>22</v>
      </c>
      <c r="M290" s="3">
        <v>0</v>
      </c>
      <c r="N290" s="3">
        <v>400000</v>
      </c>
      <c r="P290" t="s">
        <v>23</v>
      </c>
    </row>
    <row r="291" spans="1:16">
      <c r="A291" t="s">
        <v>193</v>
      </c>
      <c r="B291" t="s">
        <v>194</v>
      </c>
      <c r="C291" s="2">
        <v>32200.54</v>
      </c>
      <c r="D291" s="1">
        <v>45702</v>
      </c>
      <c r="E291" s="1">
        <v>45702</v>
      </c>
      <c r="F291" t="s">
        <v>790</v>
      </c>
      <c r="H291" t="s">
        <v>791</v>
      </c>
      <c r="I291" t="s">
        <v>738</v>
      </c>
      <c r="J291" t="s">
        <v>739</v>
      </c>
      <c r="K291" t="s">
        <v>792</v>
      </c>
      <c r="L291" t="s">
        <v>144</v>
      </c>
      <c r="M291" s="3">
        <v>183309.06</v>
      </c>
      <c r="N291" s="3">
        <v>0</v>
      </c>
      <c r="P291" t="s">
        <v>23</v>
      </c>
    </row>
    <row r="292" spans="1:16">
      <c r="A292" t="s">
        <v>193</v>
      </c>
      <c r="B292" t="s">
        <v>194</v>
      </c>
      <c r="C292" s="2">
        <v>32200.54</v>
      </c>
      <c r="D292" s="1">
        <v>45703</v>
      </c>
      <c r="E292" s="1">
        <v>45703</v>
      </c>
      <c r="F292" t="s">
        <v>793</v>
      </c>
      <c r="H292" t="s">
        <v>43</v>
      </c>
      <c r="I292" t="s">
        <v>794</v>
      </c>
      <c r="J292" t="s">
        <v>795</v>
      </c>
      <c r="K292" t="s">
        <v>796</v>
      </c>
      <c r="L292" t="s">
        <v>47</v>
      </c>
      <c r="M292" s="3">
        <v>0</v>
      </c>
      <c r="N292" s="3">
        <v>7950.17</v>
      </c>
      <c r="P292" t="s">
        <v>23</v>
      </c>
    </row>
    <row r="293" spans="1:16">
      <c r="A293" t="s">
        <v>193</v>
      </c>
      <c r="B293" t="s">
        <v>194</v>
      </c>
      <c r="C293" s="2">
        <v>32200.54</v>
      </c>
      <c r="D293" s="1">
        <v>45703</v>
      </c>
      <c r="E293" s="1">
        <v>45703</v>
      </c>
      <c r="F293" t="s">
        <v>797</v>
      </c>
      <c r="H293" t="s">
        <v>798</v>
      </c>
      <c r="I293" t="s">
        <v>799</v>
      </c>
      <c r="J293" t="s">
        <v>800</v>
      </c>
      <c r="K293" t="s">
        <v>801</v>
      </c>
      <c r="L293" t="s">
        <v>47</v>
      </c>
      <c r="M293" s="3">
        <v>0</v>
      </c>
      <c r="N293" s="3">
        <v>962.5</v>
      </c>
      <c r="P293" t="s">
        <v>23</v>
      </c>
    </row>
    <row r="294" spans="1:16">
      <c r="A294" t="s">
        <v>193</v>
      </c>
      <c r="B294" t="s">
        <v>194</v>
      </c>
      <c r="C294" s="2">
        <v>32200.54</v>
      </c>
      <c r="D294" s="1">
        <v>45706</v>
      </c>
      <c r="E294" s="1">
        <v>45706</v>
      </c>
      <c r="F294" t="s">
        <v>24</v>
      </c>
      <c r="H294" t="s">
        <v>722</v>
      </c>
      <c r="I294" t="s">
        <v>767</v>
      </c>
      <c r="J294" t="s">
        <v>768</v>
      </c>
      <c r="K294" t="s">
        <v>802</v>
      </c>
      <c r="L294" t="s">
        <v>22</v>
      </c>
      <c r="M294" s="3">
        <v>0</v>
      </c>
      <c r="N294" s="3">
        <v>125</v>
      </c>
      <c r="P294" t="s">
        <v>23</v>
      </c>
    </row>
    <row r="295" spans="1:16">
      <c r="A295" t="s">
        <v>193</v>
      </c>
      <c r="B295" t="s">
        <v>194</v>
      </c>
      <c r="C295" s="2">
        <v>32200.54</v>
      </c>
      <c r="D295" s="1">
        <v>45708</v>
      </c>
      <c r="E295" s="1">
        <v>45708</v>
      </c>
      <c r="F295" t="s">
        <v>803</v>
      </c>
      <c r="H295" t="s">
        <v>43</v>
      </c>
      <c r="I295" t="s">
        <v>776</v>
      </c>
      <c r="J295" t="s">
        <v>777</v>
      </c>
      <c r="K295" t="s">
        <v>804</v>
      </c>
      <c r="L295" t="s">
        <v>47</v>
      </c>
      <c r="M295" s="3">
        <v>0</v>
      </c>
      <c r="N295" s="3">
        <v>756.22</v>
      </c>
      <c r="P295" t="s">
        <v>23</v>
      </c>
    </row>
    <row r="296" spans="1:16">
      <c r="A296" t="s">
        <v>193</v>
      </c>
      <c r="B296" t="s">
        <v>194</v>
      </c>
      <c r="C296" s="2">
        <v>32200.54</v>
      </c>
      <c r="D296" s="1">
        <v>45708</v>
      </c>
      <c r="E296" s="1">
        <v>45708</v>
      </c>
      <c r="H296" t="s">
        <v>290</v>
      </c>
      <c r="I296" t="s">
        <v>197</v>
      </c>
      <c r="J296" t="s">
        <v>198</v>
      </c>
      <c r="K296" t="s">
        <v>805</v>
      </c>
      <c r="L296" t="s">
        <v>22</v>
      </c>
      <c r="M296" s="3">
        <v>0</v>
      </c>
      <c r="N296" s="3">
        <v>65.2</v>
      </c>
      <c r="P296" t="s">
        <v>23</v>
      </c>
    </row>
    <row r="297" spans="1:16">
      <c r="A297" t="s">
        <v>193</v>
      </c>
      <c r="B297" t="s">
        <v>194</v>
      </c>
      <c r="C297" s="2">
        <v>32200.54</v>
      </c>
      <c r="D297" s="1">
        <v>45712</v>
      </c>
      <c r="E297" s="1">
        <v>45712</v>
      </c>
      <c r="F297" t="s">
        <v>806</v>
      </c>
      <c r="H297" t="s">
        <v>807</v>
      </c>
      <c r="I297" t="s">
        <v>197</v>
      </c>
      <c r="J297" t="s">
        <v>198</v>
      </c>
      <c r="K297" t="s">
        <v>808</v>
      </c>
      <c r="L297" t="s">
        <v>22</v>
      </c>
      <c r="M297" s="3">
        <v>3.35</v>
      </c>
      <c r="N297" s="3">
        <v>0</v>
      </c>
      <c r="P297" t="s">
        <v>23</v>
      </c>
    </row>
    <row r="298" spans="1:16">
      <c r="A298" t="s">
        <v>193</v>
      </c>
      <c r="B298" t="s">
        <v>194</v>
      </c>
      <c r="C298" s="2">
        <v>32200.54</v>
      </c>
      <c r="D298" s="1">
        <v>45714</v>
      </c>
      <c r="E298" s="1">
        <v>45714</v>
      </c>
      <c r="F298" t="s">
        <v>809</v>
      </c>
      <c r="H298" t="s">
        <v>810</v>
      </c>
      <c r="I298" t="s">
        <v>772</v>
      </c>
      <c r="J298" t="s">
        <v>773</v>
      </c>
      <c r="K298" t="s">
        <v>811</v>
      </c>
      <c r="L298" t="s">
        <v>22</v>
      </c>
      <c r="M298" s="3">
        <v>0</v>
      </c>
      <c r="N298" s="3">
        <v>50000</v>
      </c>
      <c r="P298" t="s">
        <v>23</v>
      </c>
    </row>
    <row r="299" spans="1:16">
      <c r="A299" t="s">
        <v>193</v>
      </c>
      <c r="B299" t="s">
        <v>194</v>
      </c>
      <c r="C299" s="2">
        <v>32200.54</v>
      </c>
      <c r="D299" s="1">
        <v>45716</v>
      </c>
      <c r="E299" s="1">
        <v>45716</v>
      </c>
      <c r="F299" t="s">
        <v>812</v>
      </c>
      <c r="H299" t="s">
        <v>43</v>
      </c>
      <c r="I299" t="s">
        <v>813</v>
      </c>
      <c r="J299" t="s">
        <v>814</v>
      </c>
      <c r="K299" t="s">
        <v>815</v>
      </c>
      <c r="L299" t="s">
        <v>47</v>
      </c>
      <c r="M299" s="3">
        <v>0</v>
      </c>
      <c r="N299" s="3">
        <v>21978.720000000001</v>
      </c>
      <c r="P299" t="s">
        <v>23</v>
      </c>
    </row>
    <row r="300" spans="1:16">
      <c r="A300" t="s">
        <v>193</v>
      </c>
      <c r="B300" t="s">
        <v>194</v>
      </c>
      <c r="C300" s="2">
        <v>32200.54</v>
      </c>
      <c r="D300" s="1">
        <v>45716</v>
      </c>
      <c r="E300" s="1">
        <v>45716</v>
      </c>
      <c r="F300" t="s">
        <v>816</v>
      </c>
      <c r="H300" t="s">
        <v>43</v>
      </c>
      <c r="I300" t="s">
        <v>817</v>
      </c>
      <c r="J300" t="s">
        <v>818</v>
      </c>
      <c r="K300" t="s">
        <v>819</v>
      </c>
      <c r="L300" t="s">
        <v>47</v>
      </c>
      <c r="M300" s="3">
        <v>0</v>
      </c>
      <c r="N300" s="3">
        <v>24574.400000000001</v>
      </c>
      <c r="P300" t="s">
        <v>23</v>
      </c>
    </row>
    <row r="301" spans="1:16">
      <c r="A301" t="s">
        <v>193</v>
      </c>
      <c r="B301" t="s">
        <v>194</v>
      </c>
      <c r="C301" s="2">
        <v>32200.54</v>
      </c>
      <c r="D301" s="1">
        <v>45716</v>
      </c>
      <c r="E301" s="1">
        <v>45716</v>
      </c>
      <c r="F301" t="s">
        <v>820</v>
      </c>
      <c r="H301" t="s">
        <v>43</v>
      </c>
      <c r="I301" t="s">
        <v>749</v>
      </c>
      <c r="J301" t="s">
        <v>750</v>
      </c>
      <c r="K301" t="s">
        <v>821</v>
      </c>
      <c r="L301" t="s">
        <v>47</v>
      </c>
      <c r="M301" s="3">
        <v>0</v>
      </c>
      <c r="N301" s="3">
        <v>1547.13</v>
      </c>
      <c r="P301" t="s">
        <v>23</v>
      </c>
    </row>
    <row r="302" spans="1:16">
      <c r="A302" t="s">
        <v>193</v>
      </c>
      <c r="B302" t="s">
        <v>194</v>
      </c>
      <c r="C302" s="2">
        <v>32200.54</v>
      </c>
      <c r="D302" s="1">
        <v>45716</v>
      </c>
      <c r="E302" s="1">
        <v>45716</v>
      </c>
      <c r="F302" t="s">
        <v>822</v>
      </c>
      <c r="H302" t="s">
        <v>43</v>
      </c>
      <c r="I302" t="s">
        <v>757</v>
      </c>
      <c r="J302" t="s">
        <v>758</v>
      </c>
      <c r="K302" t="s">
        <v>823</v>
      </c>
      <c r="L302" t="s">
        <v>47</v>
      </c>
      <c r="M302" s="3">
        <v>0</v>
      </c>
      <c r="N302" s="3">
        <v>1938</v>
      </c>
      <c r="P302" t="s">
        <v>23</v>
      </c>
    </row>
    <row r="303" spans="1:16">
      <c r="A303" t="s">
        <v>193</v>
      </c>
      <c r="B303" t="s">
        <v>194</v>
      </c>
      <c r="C303" s="2">
        <v>32200.54</v>
      </c>
      <c r="D303" s="1">
        <v>45716</v>
      </c>
      <c r="E303" s="1">
        <v>45716</v>
      </c>
      <c r="F303" t="s">
        <v>824</v>
      </c>
      <c r="H303" t="s">
        <v>43</v>
      </c>
      <c r="I303" t="s">
        <v>780</v>
      </c>
      <c r="J303" t="s">
        <v>781</v>
      </c>
      <c r="K303" t="s">
        <v>825</v>
      </c>
      <c r="L303" t="s">
        <v>47</v>
      </c>
      <c r="M303" s="3">
        <v>0</v>
      </c>
      <c r="N303" s="3">
        <v>3491.9</v>
      </c>
      <c r="P303" t="s">
        <v>23</v>
      </c>
    </row>
    <row r="304" spans="1:16">
      <c r="A304" t="s">
        <v>193</v>
      </c>
      <c r="B304" t="s">
        <v>194</v>
      </c>
      <c r="C304" s="2">
        <v>32200.54</v>
      </c>
      <c r="D304" s="1">
        <v>45718</v>
      </c>
      <c r="E304" s="1">
        <v>45718</v>
      </c>
      <c r="F304" t="s">
        <v>17</v>
      </c>
      <c r="H304" t="s">
        <v>722</v>
      </c>
      <c r="I304" t="s">
        <v>723</v>
      </c>
      <c r="J304" t="s">
        <v>724</v>
      </c>
      <c r="K304" t="s">
        <v>826</v>
      </c>
      <c r="L304" t="s">
        <v>22</v>
      </c>
      <c r="M304" s="3">
        <v>0</v>
      </c>
      <c r="N304" s="3">
        <v>2244.98</v>
      </c>
      <c r="P304" t="s">
        <v>23</v>
      </c>
    </row>
    <row r="305" spans="1:16">
      <c r="A305" t="s">
        <v>193</v>
      </c>
      <c r="B305" t="s">
        <v>194</v>
      </c>
      <c r="C305" s="2">
        <v>32200.54</v>
      </c>
      <c r="D305" s="1">
        <v>45718</v>
      </c>
      <c r="E305" s="1">
        <v>45718</v>
      </c>
      <c r="F305" t="s">
        <v>28</v>
      </c>
      <c r="H305" t="s">
        <v>722</v>
      </c>
      <c r="I305" t="s">
        <v>727</v>
      </c>
      <c r="J305" t="s">
        <v>728</v>
      </c>
      <c r="K305" t="s">
        <v>827</v>
      </c>
      <c r="L305" t="s">
        <v>22</v>
      </c>
      <c r="M305" s="3">
        <v>0</v>
      </c>
      <c r="N305" s="3">
        <v>1471.89</v>
      </c>
      <c r="P305" t="s">
        <v>23</v>
      </c>
    </row>
    <row r="306" spans="1:16">
      <c r="A306" t="s">
        <v>193</v>
      </c>
      <c r="B306" t="s">
        <v>194</v>
      </c>
      <c r="C306" s="2">
        <v>32200.54</v>
      </c>
      <c r="D306" s="1">
        <v>45718</v>
      </c>
      <c r="E306" s="1">
        <v>45736</v>
      </c>
      <c r="F306" t="s">
        <v>828</v>
      </c>
      <c r="H306" t="s">
        <v>829</v>
      </c>
      <c r="I306" t="s">
        <v>738</v>
      </c>
      <c r="J306" t="s">
        <v>739</v>
      </c>
      <c r="K306" t="s">
        <v>830</v>
      </c>
      <c r="L306" t="s">
        <v>144</v>
      </c>
      <c r="M306" s="3">
        <v>92572</v>
      </c>
      <c r="N306" s="3">
        <v>0</v>
      </c>
      <c r="P306" t="s">
        <v>23</v>
      </c>
    </row>
    <row r="307" spans="1:16">
      <c r="A307" t="s">
        <v>193</v>
      </c>
      <c r="B307" t="s">
        <v>194</v>
      </c>
      <c r="C307" s="2">
        <v>32200.54</v>
      </c>
      <c r="D307" s="1">
        <v>45718</v>
      </c>
      <c r="E307" s="1">
        <v>45718</v>
      </c>
      <c r="F307" t="s">
        <v>831</v>
      </c>
      <c r="H307" t="s">
        <v>832</v>
      </c>
      <c r="I307" t="s">
        <v>738</v>
      </c>
      <c r="J307" t="s">
        <v>739</v>
      </c>
      <c r="K307" t="s">
        <v>833</v>
      </c>
      <c r="L307" t="s">
        <v>144</v>
      </c>
      <c r="M307" s="3">
        <v>75000</v>
      </c>
      <c r="N307" s="3">
        <v>0</v>
      </c>
      <c r="P307" t="s">
        <v>23</v>
      </c>
    </row>
    <row r="308" spans="1:16">
      <c r="A308" t="s">
        <v>193</v>
      </c>
      <c r="B308" t="s">
        <v>194</v>
      </c>
      <c r="C308" s="2">
        <v>32200.54</v>
      </c>
      <c r="D308" s="1">
        <v>45719</v>
      </c>
      <c r="E308" s="1">
        <v>45719</v>
      </c>
      <c r="F308" t="s">
        <v>834</v>
      </c>
      <c r="H308" t="s">
        <v>43</v>
      </c>
      <c r="I308" t="s">
        <v>835</v>
      </c>
      <c r="J308" t="s">
        <v>836</v>
      </c>
      <c r="K308" t="s">
        <v>837</v>
      </c>
      <c r="L308" t="s">
        <v>47</v>
      </c>
      <c r="M308" s="3">
        <v>0</v>
      </c>
      <c r="N308" s="3">
        <v>1250</v>
      </c>
      <c r="P308" t="s">
        <v>23</v>
      </c>
    </row>
    <row r="309" spans="1:16">
      <c r="A309" t="s">
        <v>193</v>
      </c>
      <c r="B309" t="s">
        <v>194</v>
      </c>
      <c r="C309" s="2">
        <v>32200.54</v>
      </c>
      <c r="D309" s="1">
        <v>45727</v>
      </c>
      <c r="E309" s="1">
        <v>45727</v>
      </c>
      <c r="F309" t="s">
        <v>838</v>
      </c>
      <c r="H309" t="s">
        <v>215</v>
      </c>
      <c r="I309" t="s">
        <v>787</v>
      </c>
      <c r="J309" t="s">
        <v>788</v>
      </c>
      <c r="K309" t="s">
        <v>839</v>
      </c>
      <c r="L309" t="s">
        <v>22</v>
      </c>
      <c r="M309" s="3">
        <v>400000</v>
      </c>
      <c r="N309" s="3">
        <v>0</v>
      </c>
      <c r="P309" t="s">
        <v>23</v>
      </c>
    </row>
    <row r="310" spans="1:16">
      <c r="A310" t="s">
        <v>193</v>
      </c>
      <c r="B310" t="s">
        <v>194</v>
      </c>
      <c r="C310" s="2">
        <v>32200.54</v>
      </c>
      <c r="D310" s="1">
        <v>45727</v>
      </c>
      <c r="E310" s="1">
        <v>45727</v>
      </c>
      <c r="F310" t="s">
        <v>840</v>
      </c>
      <c r="H310" t="s">
        <v>841</v>
      </c>
      <c r="I310" t="s">
        <v>50</v>
      </c>
      <c r="J310" t="s">
        <v>49</v>
      </c>
      <c r="K310" t="s">
        <v>842</v>
      </c>
      <c r="L310" t="s">
        <v>22</v>
      </c>
      <c r="M310" s="3">
        <v>1275.56</v>
      </c>
      <c r="N310" s="3">
        <v>0</v>
      </c>
      <c r="P310" t="s">
        <v>23</v>
      </c>
    </row>
    <row r="311" spans="1:16">
      <c r="A311" t="s">
        <v>193</v>
      </c>
      <c r="B311" t="s">
        <v>194</v>
      </c>
      <c r="C311" s="2">
        <v>32200.54</v>
      </c>
      <c r="D311" s="1">
        <v>45735</v>
      </c>
      <c r="E311" s="1">
        <v>45735</v>
      </c>
      <c r="F311" t="s">
        <v>24</v>
      </c>
      <c r="H311" t="s">
        <v>722</v>
      </c>
      <c r="I311" t="s">
        <v>767</v>
      </c>
      <c r="J311" t="s">
        <v>768</v>
      </c>
      <c r="K311" t="s">
        <v>843</v>
      </c>
      <c r="L311" t="s">
        <v>22</v>
      </c>
      <c r="M311" s="3">
        <v>0</v>
      </c>
      <c r="N311" s="3">
        <v>101.31</v>
      </c>
      <c r="P311" t="s">
        <v>23</v>
      </c>
    </row>
    <row r="312" spans="1:16">
      <c r="A312" t="s">
        <v>193</v>
      </c>
      <c r="B312" t="s">
        <v>194</v>
      </c>
      <c r="C312" s="2">
        <v>32200.54</v>
      </c>
      <c r="D312" s="1">
        <v>45736</v>
      </c>
      <c r="E312" s="1">
        <v>45736</v>
      </c>
      <c r="F312" t="s">
        <v>844</v>
      </c>
      <c r="H312" t="s">
        <v>43</v>
      </c>
      <c r="I312" t="s">
        <v>845</v>
      </c>
      <c r="J312" t="s">
        <v>846</v>
      </c>
      <c r="K312" t="s">
        <v>847</v>
      </c>
      <c r="L312" t="s">
        <v>47</v>
      </c>
      <c r="M312" s="3">
        <v>0</v>
      </c>
      <c r="N312" s="3">
        <v>71.599999999999994</v>
      </c>
      <c r="P312" t="s">
        <v>23</v>
      </c>
    </row>
    <row r="313" spans="1:16">
      <c r="A313" t="s">
        <v>193</v>
      </c>
      <c r="B313" t="s">
        <v>194</v>
      </c>
      <c r="C313" s="2">
        <v>32200.54</v>
      </c>
      <c r="D313" s="1">
        <v>45736</v>
      </c>
      <c r="E313" s="1">
        <v>45736</v>
      </c>
      <c r="F313" t="s">
        <v>848</v>
      </c>
      <c r="H313" t="s">
        <v>43</v>
      </c>
      <c r="I313" t="s">
        <v>749</v>
      </c>
      <c r="J313" t="s">
        <v>750</v>
      </c>
      <c r="K313" t="s">
        <v>849</v>
      </c>
      <c r="L313" t="s">
        <v>47</v>
      </c>
      <c r="M313" s="3">
        <v>0</v>
      </c>
      <c r="N313" s="3">
        <v>1034.3399999999999</v>
      </c>
      <c r="P313" t="s">
        <v>23</v>
      </c>
    </row>
    <row r="314" spans="1:16">
      <c r="A314" t="s">
        <v>193</v>
      </c>
      <c r="B314" t="s">
        <v>194</v>
      </c>
      <c r="C314" s="2">
        <v>32200.54</v>
      </c>
      <c r="D314" s="1">
        <v>45736</v>
      </c>
      <c r="E314" s="1">
        <v>45736</v>
      </c>
      <c r="F314" t="s">
        <v>850</v>
      </c>
      <c r="H314" t="s">
        <v>43</v>
      </c>
      <c r="I314" t="s">
        <v>799</v>
      </c>
      <c r="J314" t="s">
        <v>800</v>
      </c>
      <c r="K314" t="s">
        <v>851</v>
      </c>
      <c r="L314" t="s">
        <v>47</v>
      </c>
      <c r="M314" s="3">
        <v>0</v>
      </c>
      <c r="N314" s="3">
        <v>1375</v>
      </c>
      <c r="P314" t="s">
        <v>23</v>
      </c>
    </row>
    <row r="315" spans="1:16">
      <c r="A315" t="s">
        <v>193</v>
      </c>
      <c r="B315" t="s">
        <v>194</v>
      </c>
      <c r="C315" s="2">
        <v>32200.54</v>
      </c>
      <c r="D315" s="1">
        <v>45747</v>
      </c>
      <c r="E315" s="1">
        <v>45747</v>
      </c>
      <c r="H315" t="s">
        <v>192</v>
      </c>
      <c r="I315" t="s">
        <v>15</v>
      </c>
      <c r="J315" t="s">
        <v>16</v>
      </c>
      <c r="K315" t="s">
        <v>393</v>
      </c>
      <c r="L315" t="s">
        <v>41</v>
      </c>
      <c r="M315" s="3">
        <v>0</v>
      </c>
      <c r="N315" s="3">
        <v>200000</v>
      </c>
      <c r="P315" t="s">
        <v>23</v>
      </c>
    </row>
    <row r="316" spans="1:16">
      <c r="A316" t="s">
        <v>193</v>
      </c>
      <c r="B316" t="s">
        <v>194</v>
      </c>
      <c r="C316" s="2">
        <v>32200.54</v>
      </c>
      <c r="D316" s="1">
        <v>45747</v>
      </c>
      <c r="E316" s="1">
        <v>45747</v>
      </c>
      <c r="H316" t="s">
        <v>403</v>
      </c>
      <c r="I316" t="s">
        <v>404</v>
      </c>
      <c r="J316" t="s">
        <v>403</v>
      </c>
      <c r="K316" t="s">
        <v>852</v>
      </c>
      <c r="L316" t="s">
        <v>406</v>
      </c>
      <c r="M316" s="3">
        <v>0</v>
      </c>
      <c r="N316" s="3">
        <v>0</v>
      </c>
      <c r="P316" t="s">
        <v>23</v>
      </c>
    </row>
    <row r="317" spans="1:16">
      <c r="A317" t="s">
        <v>193</v>
      </c>
      <c r="B317" t="s">
        <v>194</v>
      </c>
      <c r="C317" s="2">
        <v>32200.54</v>
      </c>
      <c r="D317" s="1">
        <v>45749</v>
      </c>
      <c r="E317" s="1">
        <v>45749</v>
      </c>
      <c r="F317" t="s">
        <v>17</v>
      </c>
      <c r="H317" t="s">
        <v>726</v>
      </c>
      <c r="I317" t="s">
        <v>723</v>
      </c>
      <c r="J317" t="s">
        <v>724</v>
      </c>
      <c r="K317" t="s">
        <v>853</v>
      </c>
      <c r="L317" t="s">
        <v>22</v>
      </c>
      <c r="M317" s="3">
        <v>0</v>
      </c>
      <c r="N317" s="3">
        <v>2547.73</v>
      </c>
      <c r="P317" t="s">
        <v>23</v>
      </c>
    </row>
    <row r="318" spans="1:16">
      <c r="A318" t="s">
        <v>193</v>
      </c>
      <c r="B318" t="s">
        <v>194</v>
      </c>
      <c r="C318" s="2">
        <v>32200.54</v>
      </c>
      <c r="D318" s="1">
        <v>45749</v>
      </c>
      <c r="E318" s="1">
        <v>45749</v>
      </c>
      <c r="F318" t="s">
        <v>28</v>
      </c>
      <c r="H318" t="s">
        <v>726</v>
      </c>
      <c r="I318" t="s">
        <v>727</v>
      </c>
      <c r="J318" t="s">
        <v>728</v>
      </c>
      <c r="K318" t="s">
        <v>854</v>
      </c>
      <c r="L318" t="s">
        <v>22</v>
      </c>
      <c r="M318" s="3">
        <v>0</v>
      </c>
      <c r="N318" s="3">
        <v>1124.21</v>
      </c>
      <c r="P318" t="s">
        <v>23</v>
      </c>
    </row>
    <row r="319" spans="1:16">
      <c r="A319" t="s">
        <v>193</v>
      </c>
      <c r="B319" t="s">
        <v>194</v>
      </c>
      <c r="C319" s="2">
        <v>32200.54</v>
      </c>
      <c r="D319" s="1">
        <v>45762</v>
      </c>
      <c r="E319" s="1">
        <v>45762</v>
      </c>
      <c r="F319" t="s">
        <v>855</v>
      </c>
      <c r="H319" t="s">
        <v>43</v>
      </c>
      <c r="I319" t="s">
        <v>856</v>
      </c>
      <c r="J319" t="s">
        <v>857</v>
      </c>
      <c r="K319" t="s">
        <v>858</v>
      </c>
      <c r="L319" t="s">
        <v>47</v>
      </c>
      <c r="M319" s="3">
        <v>0</v>
      </c>
      <c r="N319" s="3">
        <v>3285.15</v>
      </c>
      <c r="P319" t="s">
        <v>23</v>
      </c>
    </row>
    <row r="320" spans="1:16">
      <c r="A320" t="s">
        <v>193</v>
      </c>
      <c r="B320" t="s">
        <v>194</v>
      </c>
      <c r="C320" s="2">
        <v>32200.54</v>
      </c>
      <c r="D320" s="1">
        <v>45765</v>
      </c>
      <c r="E320" s="1">
        <v>45765</v>
      </c>
      <c r="F320" t="s">
        <v>17</v>
      </c>
      <c r="H320" t="s">
        <v>722</v>
      </c>
      <c r="I320" t="s">
        <v>723</v>
      </c>
      <c r="J320" t="s">
        <v>724</v>
      </c>
      <c r="K320" t="s">
        <v>859</v>
      </c>
      <c r="L320" t="s">
        <v>22</v>
      </c>
      <c r="M320" s="3">
        <v>141.06</v>
      </c>
      <c r="N320" s="3">
        <v>0</v>
      </c>
      <c r="P320" t="s">
        <v>23</v>
      </c>
    </row>
    <row r="321" spans="1:16">
      <c r="A321" t="s">
        <v>193</v>
      </c>
      <c r="B321" t="s">
        <v>194</v>
      </c>
      <c r="C321" s="2">
        <v>32200.54</v>
      </c>
      <c r="D321" s="1">
        <v>45771</v>
      </c>
      <c r="E321" s="1">
        <v>45771</v>
      </c>
      <c r="F321" t="s">
        <v>860</v>
      </c>
      <c r="H321" t="s">
        <v>43</v>
      </c>
      <c r="I321" t="s">
        <v>835</v>
      </c>
      <c r="J321" t="s">
        <v>836</v>
      </c>
      <c r="K321" t="s">
        <v>861</v>
      </c>
      <c r="L321" t="s">
        <v>47</v>
      </c>
      <c r="M321" s="3">
        <v>0</v>
      </c>
      <c r="N321" s="3">
        <v>1680</v>
      </c>
      <c r="P321" t="s">
        <v>23</v>
      </c>
    </row>
    <row r="322" spans="1:16">
      <c r="A322" t="s">
        <v>193</v>
      </c>
      <c r="B322" t="s">
        <v>194</v>
      </c>
      <c r="C322" s="2">
        <v>32200.54</v>
      </c>
      <c r="D322" s="1">
        <v>45777</v>
      </c>
      <c r="E322" s="1">
        <v>45777</v>
      </c>
      <c r="F322" t="s">
        <v>862</v>
      </c>
      <c r="H322" t="s">
        <v>43</v>
      </c>
      <c r="I322" t="s">
        <v>813</v>
      </c>
      <c r="J322" t="s">
        <v>814</v>
      </c>
      <c r="K322" t="s">
        <v>863</v>
      </c>
      <c r="L322" t="s">
        <v>22</v>
      </c>
      <c r="M322" s="3">
        <v>0</v>
      </c>
      <c r="N322" s="3">
        <v>31.53</v>
      </c>
      <c r="P322" t="s">
        <v>23</v>
      </c>
    </row>
    <row r="323" spans="1:16">
      <c r="A323" t="s">
        <v>193</v>
      </c>
      <c r="B323" t="s">
        <v>194</v>
      </c>
      <c r="C323" s="2">
        <v>32200.54</v>
      </c>
      <c r="D323" s="1">
        <v>45777</v>
      </c>
      <c r="E323" s="1">
        <v>45777</v>
      </c>
      <c r="F323" t="s">
        <v>864</v>
      </c>
      <c r="H323" t="s">
        <v>865</v>
      </c>
      <c r="I323" t="s">
        <v>866</v>
      </c>
      <c r="J323" t="s">
        <v>867</v>
      </c>
      <c r="K323" t="s">
        <v>868</v>
      </c>
      <c r="L323" t="s">
        <v>22</v>
      </c>
      <c r="M323" s="3">
        <v>0</v>
      </c>
      <c r="N323" s="3">
        <v>775</v>
      </c>
      <c r="P323" t="s">
        <v>23</v>
      </c>
    </row>
    <row r="324" spans="1:16">
      <c r="A324" t="s">
        <v>193</v>
      </c>
      <c r="B324" t="s">
        <v>194</v>
      </c>
      <c r="C324" s="2">
        <v>32200.54</v>
      </c>
      <c r="D324" s="1">
        <v>45779</v>
      </c>
      <c r="E324" s="1">
        <v>45779</v>
      </c>
      <c r="F324" t="s">
        <v>17</v>
      </c>
      <c r="H324" t="s">
        <v>869</v>
      </c>
      <c r="I324" t="s">
        <v>723</v>
      </c>
      <c r="J324" t="s">
        <v>724</v>
      </c>
      <c r="K324" t="s">
        <v>870</v>
      </c>
      <c r="L324" t="s">
        <v>22</v>
      </c>
      <c r="M324" s="3">
        <v>0</v>
      </c>
      <c r="N324" s="3">
        <v>1780.53</v>
      </c>
      <c r="P324" t="s">
        <v>23</v>
      </c>
    </row>
    <row r="325" spans="1:16">
      <c r="A325" t="s">
        <v>193</v>
      </c>
      <c r="B325" t="s">
        <v>194</v>
      </c>
      <c r="C325" s="2">
        <v>32200.54</v>
      </c>
      <c r="D325" s="1">
        <v>45779</v>
      </c>
      <c r="E325" s="1">
        <v>45779</v>
      </c>
      <c r="F325" t="s">
        <v>28</v>
      </c>
      <c r="H325" t="s">
        <v>722</v>
      </c>
      <c r="I325" t="s">
        <v>727</v>
      </c>
      <c r="J325" t="s">
        <v>728</v>
      </c>
      <c r="K325" t="s">
        <v>871</v>
      </c>
      <c r="L325" t="s">
        <v>22</v>
      </c>
      <c r="M325" s="3">
        <v>0</v>
      </c>
      <c r="N325" s="3">
        <v>3964.23</v>
      </c>
      <c r="P325" t="s">
        <v>23</v>
      </c>
    </row>
    <row r="326" spans="1:16">
      <c r="A326" t="s">
        <v>193</v>
      </c>
      <c r="B326" t="s">
        <v>194</v>
      </c>
      <c r="C326" s="2">
        <v>32200.54</v>
      </c>
      <c r="D326" s="1">
        <v>45782</v>
      </c>
      <c r="E326" s="1">
        <v>45782</v>
      </c>
      <c r="F326" t="s">
        <v>872</v>
      </c>
      <c r="H326" t="s">
        <v>786</v>
      </c>
      <c r="I326" t="s">
        <v>787</v>
      </c>
      <c r="J326" t="s">
        <v>788</v>
      </c>
      <c r="K326" t="s">
        <v>873</v>
      </c>
      <c r="L326" t="s">
        <v>22</v>
      </c>
      <c r="M326" s="3">
        <v>0</v>
      </c>
      <c r="N326" s="3">
        <v>500000</v>
      </c>
      <c r="P326" t="s">
        <v>23</v>
      </c>
    </row>
    <row r="327" spans="1:16">
      <c r="A327" t="s">
        <v>193</v>
      </c>
      <c r="B327" t="s">
        <v>194</v>
      </c>
      <c r="C327" s="2">
        <v>32200.54</v>
      </c>
      <c r="D327" s="1">
        <v>45788</v>
      </c>
      <c r="E327" s="1">
        <v>45788</v>
      </c>
      <c r="F327" t="s">
        <v>874</v>
      </c>
      <c r="H327" t="s">
        <v>43</v>
      </c>
      <c r="I327" t="s">
        <v>875</v>
      </c>
      <c r="J327" t="s">
        <v>876</v>
      </c>
      <c r="K327" t="s">
        <v>877</v>
      </c>
      <c r="L327" t="s">
        <v>47</v>
      </c>
      <c r="M327" s="3">
        <v>0</v>
      </c>
      <c r="N327" s="3">
        <v>599</v>
      </c>
      <c r="P327" t="s">
        <v>23</v>
      </c>
    </row>
    <row r="328" spans="1:16">
      <c r="A328" t="s">
        <v>193</v>
      </c>
      <c r="B328" t="s">
        <v>194</v>
      </c>
      <c r="C328" s="2">
        <v>32200.54</v>
      </c>
      <c r="D328" s="1">
        <v>45792</v>
      </c>
      <c r="E328" s="1">
        <v>45792</v>
      </c>
      <c r="F328" t="s">
        <v>878</v>
      </c>
      <c r="H328" t="s">
        <v>43</v>
      </c>
      <c r="I328" t="s">
        <v>757</v>
      </c>
      <c r="J328" t="s">
        <v>758</v>
      </c>
      <c r="K328" t="s">
        <v>879</v>
      </c>
      <c r="L328" t="s">
        <v>47</v>
      </c>
      <c r="M328" s="3">
        <v>0</v>
      </c>
      <c r="N328" s="3">
        <v>7945</v>
      </c>
      <c r="P328" t="s">
        <v>23</v>
      </c>
    </row>
    <row r="329" spans="1:16">
      <c r="A329" t="s">
        <v>193</v>
      </c>
      <c r="B329" t="s">
        <v>194</v>
      </c>
      <c r="C329" s="2">
        <v>32200.54</v>
      </c>
      <c r="D329" s="1">
        <v>45792</v>
      </c>
      <c r="E329" s="1">
        <v>45792</v>
      </c>
      <c r="F329" t="s">
        <v>880</v>
      </c>
      <c r="H329" t="s">
        <v>43</v>
      </c>
      <c r="I329" t="s">
        <v>780</v>
      </c>
      <c r="J329" t="s">
        <v>781</v>
      </c>
      <c r="K329" t="s">
        <v>881</v>
      </c>
      <c r="L329" t="s">
        <v>47</v>
      </c>
      <c r="M329" s="3">
        <v>0</v>
      </c>
      <c r="N329" s="3">
        <v>638</v>
      </c>
      <c r="P329" t="s">
        <v>23</v>
      </c>
    </row>
    <row r="330" spans="1:16">
      <c r="A330" t="s">
        <v>193</v>
      </c>
      <c r="B330" t="s">
        <v>194</v>
      </c>
      <c r="C330" s="2">
        <v>32200.54</v>
      </c>
      <c r="D330" s="1">
        <v>45805</v>
      </c>
      <c r="E330" s="1">
        <v>45805</v>
      </c>
      <c r="H330" t="s">
        <v>592</v>
      </c>
      <c r="I330" t="s">
        <v>15</v>
      </c>
      <c r="J330" t="s">
        <v>16</v>
      </c>
      <c r="K330" t="s">
        <v>593</v>
      </c>
      <c r="L330" t="s">
        <v>41</v>
      </c>
      <c r="M330" s="3">
        <v>0</v>
      </c>
      <c r="N330" s="3">
        <v>100000</v>
      </c>
      <c r="P330" t="s">
        <v>23</v>
      </c>
    </row>
    <row r="331" spans="1:16">
      <c r="A331" t="s">
        <v>193</v>
      </c>
      <c r="B331" t="s">
        <v>194</v>
      </c>
      <c r="C331" s="2">
        <v>32200.54</v>
      </c>
      <c r="D331" s="1">
        <v>45806</v>
      </c>
      <c r="E331" s="1">
        <v>45806</v>
      </c>
      <c r="F331" t="s">
        <v>882</v>
      </c>
      <c r="H331" t="s">
        <v>43</v>
      </c>
      <c r="I331" t="s">
        <v>780</v>
      </c>
      <c r="J331" t="s">
        <v>781</v>
      </c>
      <c r="K331" t="s">
        <v>883</v>
      </c>
      <c r="L331" t="s">
        <v>47</v>
      </c>
      <c r="M331" s="3">
        <v>0</v>
      </c>
      <c r="N331" s="3">
        <v>826.18</v>
      </c>
      <c r="P331" t="s">
        <v>23</v>
      </c>
    </row>
    <row r="332" spans="1:16">
      <c r="A332" t="s">
        <v>193</v>
      </c>
      <c r="B332" t="s">
        <v>194</v>
      </c>
      <c r="C332" s="2">
        <v>32200.54</v>
      </c>
      <c r="D332" s="1">
        <v>45811</v>
      </c>
      <c r="E332" s="1">
        <v>45811</v>
      </c>
      <c r="F332" t="s">
        <v>28</v>
      </c>
      <c r="H332" t="s">
        <v>722</v>
      </c>
      <c r="I332" t="s">
        <v>727</v>
      </c>
      <c r="J332" t="s">
        <v>728</v>
      </c>
      <c r="K332" t="s">
        <v>884</v>
      </c>
      <c r="L332" t="s">
        <v>22</v>
      </c>
      <c r="M332" s="3">
        <v>0</v>
      </c>
      <c r="N332" s="3">
        <v>1320.68</v>
      </c>
      <c r="P332" t="s">
        <v>23</v>
      </c>
    </row>
    <row r="333" spans="1:16">
      <c r="A333" t="s">
        <v>193</v>
      </c>
      <c r="B333" t="s">
        <v>194</v>
      </c>
      <c r="C333" s="2">
        <v>32200.54</v>
      </c>
      <c r="D333" s="1">
        <v>45811</v>
      </c>
      <c r="E333" s="1">
        <v>45811</v>
      </c>
      <c r="F333" t="s">
        <v>17</v>
      </c>
      <c r="H333" t="s">
        <v>722</v>
      </c>
      <c r="I333" t="s">
        <v>723</v>
      </c>
      <c r="J333" t="s">
        <v>724</v>
      </c>
      <c r="K333" t="s">
        <v>885</v>
      </c>
      <c r="L333" t="s">
        <v>22</v>
      </c>
      <c r="M333" s="3">
        <v>0</v>
      </c>
      <c r="N333" s="3">
        <v>771.76</v>
      </c>
      <c r="P333" t="s">
        <v>23</v>
      </c>
    </row>
    <row r="334" spans="1:16">
      <c r="A334" t="s">
        <v>193</v>
      </c>
      <c r="B334" t="s">
        <v>194</v>
      </c>
      <c r="C334" s="2">
        <v>32200.54</v>
      </c>
      <c r="D334" s="1">
        <v>45813</v>
      </c>
      <c r="E334" s="1">
        <v>45813</v>
      </c>
      <c r="F334" t="s">
        <v>886</v>
      </c>
      <c r="H334" t="s">
        <v>215</v>
      </c>
      <c r="I334" t="s">
        <v>787</v>
      </c>
      <c r="J334" t="s">
        <v>788</v>
      </c>
      <c r="K334" t="s">
        <v>887</v>
      </c>
      <c r="L334" t="s">
        <v>41</v>
      </c>
      <c r="M334" s="3">
        <v>500000</v>
      </c>
      <c r="N334" s="3">
        <v>0</v>
      </c>
      <c r="P334" t="s">
        <v>23</v>
      </c>
    </row>
    <row r="335" spans="1:16">
      <c r="A335" t="s">
        <v>193</v>
      </c>
      <c r="B335" t="s">
        <v>194</v>
      </c>
      <c r="C335" s="2">
        <v>32200.54</v>
      </c>
      <c r="D335" s="1">
        <v>45813</v>
      </c>
      <c r="E335" s="1">
        <v>45813</v>
      </c>
      <c r="F335" t="s">
        <v>886</v>
      </c>
      <c r="H335" t="s">
        <v>49</v>
      </c>
      <c r="I335" t="s">
        <v>50</v>
      </c>
      <c r="J335" t="s">
        <v>49</v>
      </c>
      <c r="K335" t="s">
        <v>888</v>
      </c>
      <c r="L335" t="s">
        <v>41</v>
      </c>
      <c r="M335" s="3">
        <v>1872.92</v>
      </c>
      <c r="N335" s="3">
        <v>0</v>
      </c>
      <c r="P335" t="s">
        <v>23</v>
      </c>
    </row>
    <row r="336" spans="1:16">
      <c r="A336" t="s">
        <v>193</v>
      </c>
      <c r="B336" t="s">
        <v>194</v>
      </c>
      <c r="C336" s="2">
        <v>32200.54</v>
      </c>
      <c r="D336" s="1">
        <v>45813</v>
      </c>
      <c r="E336" s="1">
        <v>45813</v>
      </c>
      <c r="F336" t="s">
        <v>886</v>
      </c>
      <c r="H336" t="s">
        <v>889</v>
      </c>
      <c r="I336" t="s">
        <v>890</v>
      </c>
      <c r="J336" t="s">
        <v>889</v>
      </c>
      <c r="K336" t="s">
        <v>891</v>
      </c>
      <c r="L336" t="s">
        <v>41</v>
      </c>
      <c r="M336" s="3">
        <v>0</v>
      </c>
      <c r="N336" s="3">
        <v>430.77</v>
      </c>
      <c r="P336" t="s">
        <v>23</v>
      </c>
    </row>
    <row r="337" spans="1:16">
      <c r="A337" t="s">
        <v>193</v>
      </c>
      <c r="B337" t="s">
        <v>194</v>
      </c>
      <c r="C337" s="2">
        <v>32200.54</v>
      </c>
      <c r="D337" s="1">
        <v>45826</v>
      </c>
      <c r="E337" s="1">
        <v>45826</v>
      </c>
      <c r="F337" t="s">
        <v>892</v>
      </c>
      <c r="H337" t="s">
        <v>832</v>
      </c>
      <c r="I337" t="s">
        <v>738</v>
      </c>
      <c r="J337" t="s">
        <v>739</v>
      </c>
      <c r="K337" t="s">
        <v>893</v>
      </c>
      <c r="L337" t="s">
        <v>144</v>
      </c>
      <c r="M337" s="3">
        <v>41000</v>
      </c>
      <c r="N337" s="3">
        <v>0</v>
      </c>
      <c r="P337" t="s">
        <v>23</v>
      </c>
    </row>
    <row r="338" spans="1:16">
      <c r="A338" t="s">
        <v>193</v>
      </c>
      <c r="B338" t="s">
        <v>194</v>
      </c>
      <c r="C338" s="2">
        <v>32200.54</v>
      </c>
      <c r="D338" s="1">
        <v>45826</v>
      </c>
      <c r="E338" s="1">
        <v>45826</v>
      </c>
      <c r="F338" t="s">
        <v>894</v>
      </c>
      <c r="H338" t="s">
        <v>43</v>
      </c>
      <c r="I338" t="s">
        <v>813</v>
      </c>
      <c r="J338" t="s">
        <v>814</v>
      </c>
      <c r="K338" t="s">
        <v>895</v>
      </c>
      <c r="L338" t="s">
        <v>47</v>
      </c>
      <c r="M338" s="3">
        <v>0</v>
      </c>
      <c r="N338" s="3">
        <v>10658.64</v>
      </c>
      <c r="P338" t="s">
        <v>23</v>
      </c>
    </row>
    <row r="339" spans="1:16">
      <c r="A339" t="s">
        <v>193</v>
      </c>
      <c r="B339" t="s">
        <v>194</v>
      </c>
      <c r="C339" s="2">
        <v>32200.54</v>
      </c>
      <c r="D339" s="1">
        <v>45826</v>
      </c>
      <c r="E339" s="1">
        <v>45826</v>
      </c>
      <c r="F339" t="s">
        <v>896</v>
      </c>
      <c r="H339" t="s">
        <v>43</v>
      </c>
      <c r="I339" t="s">
        <v>897</v>
      </c>
      <c r="J339" t="s">
        <v>898</v>
      </c>
      <c r="K339" t="s">
        <v>899</v>
      </c>
      <c r="L339" t="s">
        <v>47</v>
      </c>
      <c r="M339" s="3">
        <v>0</v>
      </c>
      <c r="N339" s="3">
        <v>580</v>
      </c>
      <c r="P339" t="s">
        <v>23</v>
      </c>
    </row>
    <row r="340" spans="1:16">
      <c r="A340" t="s">
        <v>193</v>
      </c>
      <c r="B340" t="s">
        <v>194</v>
      </c>
      <c r="C340" s="2">
        <v>32200.54</v>
      </c>
      <c r="D340" s="1">
        <v>45826</v>
      </c>
      <c r="E340" s="1">
        <v>45826</v>
      </c>
      <c r="F340" t="s">
        <v>900</v>
      </c>
      <c r="H340" t="s">
        <v>901</v>
      </c>
      <c r="I340" t="s">
        <v>780</v>
      </c>
      <c r="J340" t="s">
        <v>781</v>
      </c>
      <c r="K340" t="s">
        <v>902</v>
      </c>
      <c r="L340" t="s">
        <v>47</v>
      </c>
      <c r="M340" s="3">
        <v>0</v>
      </c>
      <c r="N340" s="3">
        <v>1248.78</v>
      </c>
      <c r="P340" t="s">
        <v>23</v>
      </c>
    </row>
    <row r="341" spans="1:16">
      <c r="A341" t="s">
        <v>193</v>
      </c>
      <c r="B341" t="s">
        <v>194</v>
      </c>
      <c r="C341" s="2">
        <v>32200.54</v>
      </c>
      <c r="D341" s="1">
        <v>45838</v>
      </c>
      <c r="E341" s="1">
        <v>45838</v>
      </c>
      <c r="F341" t="s">
        <v>903</v>
      </c>
      <c r="H341" t="s">
        <v>904</v>
      </c>
      <c r="I341" t="s">
        <v>780</v>
      </c>
      <c r="J341" t="s">
        <v>781</v>
      </c>
      <c r="K341" t="s">
        <v>905</v>
      </c>
      <c r="L341" t="s">
        <v>47</v>
      </c>
      <c r="M341" s="3">
        <v>0</v>
      </c>
      <c r="N341" s="3">
        <v>480.8</v>
      </c>
      <c r="P341" t="s">
        <v>23</v>
      </c>
    </row>
    <row r="342" spans="1:16">
      <c r="A342" t="s">
        <v>193</v>
      </c>
      <c r="B342" t="s">
        <v>194</v>
      </c>
      <c r="C342" s="2">
        <v>32200.54</v>
      </c>
      <c r="D342" s="1">
        <v>45838</v>
      </c>
      <c r="E342" s="1">
        <v>45838</v>
      </c>
      <c r="F342" t="s">
        <v>906</v>
      </c>
      <c r="H342" t="s">
        <v>43</v>
      </c>
      <c r="I342" t="s">
        <v>749</v>
      </c>
      <c r="J342" t="s">
        <v>750</v>
      </c>
      <c r="K342" t="s">
        <v>907</v>
      </c>
      <c r="L342" t="s">
        <v>47</v>
      </c>
      <c r="M342" s="3">
        <v>0</v>
      </c>
      <c r="N342" s="3">
        <v>3143.15</v>
      </c>
      <c r="P342" t="s">
        <v>23</v>
      </c>
    </row>
    <row r="343" spans="1:16">
      <c r="A343" t="s">
        <v>193</v>
      </c>
      <c r="B343" t="s">
        <v>194</v>
      </c>
      <c r="C343" s="2">
        <v>32200.54</v>
      </c>
      <c r="D343" s="1">
        <v>45838</v>
      </c>
      <c r="E343" s="1">
        <v>45838</v>
      </c>
      <c r="F343" t="s">
        <v>685</v>
      </c>
      <c r="H343" t="s">
        <v>686</v>
      </c>
      <c r="I343" t="s">
        <v>15</v>
      </c>
      <c r="J343" t="s">
        <v>16</v>
      </c>
      <c r="K343" t="s">
        <v>687</v>
      </c>
      <c r="L343" t="s">
        <v>41</v>
      </c>
      <c r="M343" s="3">
        <v>0</v>
      </c>
      <c r="N343" s="3">
        <v>300000</v>
      </c>
      <c r="P343" t="s">
        <v>23</v>
      </c>
    </row>
    <row r="344" spans="1:16">
      <c r="A344" t="s">
        <v>38</v>
      </c>
      <c r="B344" t="s">
        <v>39</v>
      </c>
      <c r="C344" s="2">
        <v>369031.06</v>
      </c>
      <c r="D344" s="1">
        <v>45659</v>
      </c>
      <c r="E344" s="1">
        <v>45659</v>
      </c>
      <c r="H344" t="s">
        <v>37</v>
      </c>
      <c r="I344" t="s">
        <v>15</v>
      </c>
      <c r="J344" t="s">
        <v>16</v>
      </c>
      <c r="K344" t="s">
        <v>40</v>
      </c>
      <c r="L344" t="s">
        <v>41</v>
      </c>
      <c r="M344" s="3">
        <v>0</v>
      </c>
      <c r="N344" s="3">
        <v>154623.29</v>
      </c>
      <c r="P344" t="s">
        <v>23</v>
      </c>
    </row>
    <row r="345" spans="1:16">
      <c r="A345" t="s">
        <v>38</v>
      </c>
      <c r="B345" t="s">
        <v>39</v>
      </c>
      <c r="C345" s="2">
        <v>369031.06</v>
      </c>
      <c r="D345" s="1">
        <v>45688</v>
      </c>
      <c r="E345" s="1">
        <v>45688</v>
      </c>
      <c r="H345" t="s">
        <v>908</v>
      </c>
      <c r="I345" t="s">
        <v>404</v>
      </c>
      <c r="J345" t="s">
        <v>403</v>
      </c>
      <c r="K345" t="s">
        <v>909</v>
      </c>
      <c r="L345" t="s">
        <v>22</v>
      </c>
      <c r="M345" s="3">
        <v>0</v>
      </c>
      <c r="N345" s="3">
        <v>17.63</v>
      </c>
      <c r="P345" t="s">
        <v>23</v>
      </c>
    </row>
    <row r="346" spans="1:16">
      <c r="A346" t="s">
        <v>38</v>
      </c>
      <c r="B346" t="s">
        <v>39</v>
      </c>
      <c r="C346" s="2">
        <v>369031.06</v>
      </c>
      <c r="D346" s="1">
        <v>45690</v>
      </c>
      <c r="E346" s="1">
        <v>45690</v>
      </c>
      <c r="F346" t="s">
        <v>17</v>
      </c>
      <c r="H346" t="s">
        <v>726</v>
      </c>
      <c r="I346" t="s">
        <v>910</v>
      </c>
      <c r="J346" t="s">
        <v>911</v>
      </c>
      <c r="K346" t="s">
        <v>912</v>
      </c>
      <c r="L346" t="s">
        <v>22</v>
      </c>
      <c r="M346" s="3">
        <v>0</v>
      </c>
      <c r="N346" s="3">
        <v>546.75</v>
      </c>
      <c r="P346" t="s">
        <v>23</v>
      </c>
    </row>
    <row r="347" spans="1:16">
      <c r="A347" t="s">
        <v>38</v>
      </c>
      <c r="B347" t="s">
        <v>39</v>
      </c>
      <c r="C347" s="2">
        <v>369031.06</v>
      </c>
      <c r="D347" s="1">
        <v>45692</v>
      </c>
      <c r="E347" s="1">
        <v>45692</v>
      </c>
      <c r="F347" t="s">
        <v>17</v>
      </c>
      <c r="H347" t="s">
        <v>726</v>
      </c>
      <c r="I347" t="s">
        <v>910</v>
      </c>
      <c r="J347" t="s">
        <v>911</v>
      </c>
      <c r="K347" t="s">
        <v>913</v>
      </c>
      <c r="L347" t="s">
        <v>22</v>
      </c>
      <c r="M347" s="3">
        <v>544.49</v>
      </c>
      <c r="N347" s="3">
        <v>0</v>
      </c>
      <c r="P347" t="s">
        <v>23</v>
      </c>
    </row>
    <row r="348" spans="1:16">
      <c r="A348" t="s">
        <v>38</v>
      </c>
      <c r="B348" t="s">
        <v>39</v>
      </c>
      <c r="C348" s="2">
        <v>369031.06</v>
      </c>
      <c r="D348" s="1">
        <v>45703</v>
      </c>
      <c r="E348" s="1">
        <v>45703</v>
      </c>
      <c r="F348" t="s">
        <v>914</v>
      </c>
      <c r="H348" t="s">
        <v>43</v>
      </c>
      <c r="I348" t="s">
        <v>915</v>
      </c>
      <c r="J348" t="s">
        <v>916</v>
      </c>
      <c r="K348" t="s">
        <v>917</v>
      </c>
      <c r="L348" t="s">
        <v>47</v>
      </c>
      <c r="M348" s="3">
        <v>0</v>
      </c>
      <c r="N348" s="3">
        <v>2621.11</v>
      </c>
      <c r="P348" t="s">
        <v>23</v>
      </c>
    </row>
    <row r="349" spans="1:16">
      <c r="A349" t="s">
        <v>38</v>
      </c>
      <c r="B349" t="s">
        <v>39</v>
      </c>
      <c r="C349" s="2">
        <v>369031.06</v>
      </c>
      <c r="D349" s="1">
        <v>45703</v>
      </c>
      <c r="E349" s="1">
        <v>45703</v>
      </c>
      <c r="F349" t="s">
        <v>918</v>
      </c>
      <c r="H349" t="s">
        <v>43</v>
      </c>
      <c r="I349" t="s">
        <v>919</v>
      </c>
      <c r="J349" t="s">
        <v>920</v>
      </c>
      <c r="K349" t="s">
        <v>921</v>
      </c>
      <c r="L349" t="s">
        <v>47</v>
      </c>
      <c r="M349" s="3">
        <v>0</v>
      </c>
      <c r="N349" s="3">
        <v>2704.35</v>
      </c>
      <c r="P349" t="s">
        <v>23</v>
      </c>
    </row>
    <row r="350" spans="1:16">
      <c r="A350" t="s">
        <v>38</v>
      </c>
      <c r="B350" t="s">
        <v>39</v>
      </c>
      <c r="C350" s="2">
        <v>369031.06</v>
      </c>
      <c r="D350" s="1">
        <v>45705</v>
      </c>
      <c r="E350" s="1">
        <v>45705</v>
      </c>
      <c r="F350" t="s">
        <v>922</v>
      </c>
      <c r="H350" t="s">
        <v>786</v>
      </c>
      <c r="I350" t="s">
        <v>923</v>
      </c>
      <c r="J350" t="s">
        <v>924</v>
      </c>
      <c r="K350" t="s">
        <v>925</v>
      </c>
      <c r="L350" t="s">
        <v>22</v>
      </c>
      <c r="M350" s="3">
        <v>0</v>
      </c>
      <c r="N350" s="3">
        <v>157310.07</v>
      </c>
      <c r="P350" t="s">
        <v>23</v>
      </c>
    </row>
    <row r="351" spans="1:16">
      <c r="A351" t="s">
        <v>38</v>
      </c>
      <c r="B351" t="s">
        <v>39</v>
      </c>
      <c r="C351" s="2">
        <v>369031.06</v>
      </c>
      <c r="D351" s="1">
        <v>45716</v>
      </c>
      <c r="E351" s="1">
        <v>45716</v>
      </c>
      <c r="H351" t="s">
        <v>290</v>
      </c>
      <c r="I351" t="s">
        <v>197</v>
      </c>
      <c r="J351" t="s">
        <v>198</v>
      </c>
      <c r="K351" t="s">
        <v>926</v>
      </c>
      <c r="L351" t="s">
        <v>22</v>
      </c>
      <c r="M351" s="3">
        <v>0</v>
      </c>
      <c r="N351" s="3">
        <v>60.47</v>
      </c>
      <c r="P351" t="s">
        <v>23</v>
      </c>
    </row>
    <row r="352" spans="1:16">
      <c r="A352" t="s">
        <v>38</v>
      </c>
      <c r="B352" t="s">
        <v>39</v>
      </c>
      <c r="C352" s="2">
        <v>369031.06</v>
      </c>
      <c r="D352" s="1">
        <v>45716</v>
      </c>
      <c r="E352" s="1">
        <v>45716</v>
      </c>
      <c r="F352" t="s">
        <v>927</v>
      </c>
      <c r="H352" t="s">
        <v>43</v>
      </c>
      <c r="I352" t="s">
        <v>928</v>
      </c>
      <c r="J352" t="s">
        <v>929</v>
      </c>
      <c r="K352" t="s">
        <v>930</v>
      </c>
      <c r="L352" t="s">
        <v>47</v>
      </c>
      <c r="M352" s="3">
        <v>0</v>
      </c>
      <c r="N352" s="3">
        <v>1705.83</v>
      </c>
      <c r="P352" t="s">
        <v>23</v>
      </c>
    </row>
    <row r="353" spans="1:16">
      <c r="A353" t="s">
        <v>38</v>
      </c>
      <c r="B353" t="s">
        <v>39</v>
      </c>
      <c r="C353" s="2">
        <v>369031.06</v>
      </c>
      <c r="D353" s="1">
        <v>45718</v>
      </c>
      <c r="E353" s="1">
        <v>45718</v>
      </c>
      <c r="F353" t="s">
        <v>17</v>
      </c>
      <c r="H353" t="s">
        <v>726</v>
      </c>
      <c r="I353" t="s">
        <v>910</v>
      </c>
      <c r="J353" t="s">
        <v>911</v>
      </c>
      <c r="K353" t="s">
        <v>931</v>
      </c>
      <c r="L353" t="s">
        <v>22</v>
      </c>
      <c r="M353" s="3">
        <v>0</v>
      </c>
      <c r="N353" s="3">
        <v>889.85</v>
      </c>
      <c r="P353" t="s">
        <v>23</v>
      </c>
    </row>
    <row r="354" spans="1:16">
      <c r="A354" t="s">
        <v>38</v>
      </c>
      <c r="B354" t="s">
        <v>39</v>
      </c>
      <c r="C354" s="2">
        <v>369031.06</v>
      </c>
      <c r="D354" s="1">
        <v>45718</v>
      </c>
      <c r="E354" s="1">
        <v>45718</v>
      </c>
      <c r="F354" t="s">
        <v>28</v>
      </c>
      <c r="H354" t="s">
        <v>722</v>
      </c>
      <c r="I354" t="s">
        <v>932</v>
      </c>
      <c r="J354" t="s">
        <v>933</v>
      </c>
      <c r="K354" t="s">
        <v>934</v>
      </c>
      <c r="L354" t="s">
        <v>22</v>
      </c>
      <c r="M354" s="3">
        <v>0</v>
      </c>
      <c r="N354" s="3">
        <v>248.59</v>
      </c>
      <c r="P354" t="s">
        <v>23</v>
      </c>
    </row>
    <row r="355" spans="1:16">
      <c r="A355" t="s">
        <v>38</v>
      </c>
      <c r="B355" t="s">
        <v>39</v>
      </c>
      <c r="C355" s="2">
        <v>369031.06</v>
      </c>
      <c r="D355" s="1">
        <v>45733</v>
      </c>
      <c r="E355" s="1">
        <v>45733</v>
      </c>
      <c r="F355" t="s">
        <v>348</v>
      </c>
      <c r="H355" t="s">
        <v>349</v>
      </c>
      <c r="I355" t="s">
        <v>15</v>
      </c>
      <c r="J355" t="s">
        <v>16</v>
      </c>
      <c r="K355" t="s">
        <v>352</v>
      </c>
      <c r="L355" t="s">
        <v>41</v>
      </c>
      <c r="M355" s="3">
        <v>831.72</v>
      </c>
      <c r="N355" s="3">
        <v>0</v>
      </c>
      <c r="P355" t="s">
        <v>23</v>
      </c>
    </row>
    <row r="356" spans="1:16">
      <c r="A356" t="s">
        <v>38</v>
      </c>
      <c r="B356" t="s">
        <v>39</v>
      </c>
      <c r="C356" s="2">
        <v>369031.06</v>
      </c>
      <c r="D356" s="1">
        <v>45733</v>
      </c>
      <c r="E356" s="1">
        <v>45733</v>
      </c>
      <c r="F356" t="s">
        <v>935</v>
      </c>
      <c r="H356" t="s">
        <v>841</v>
      </c>
      <c r="I356" t="s">
        <v>50</v>
      </c>
      <c r="J356" t="s">
        <v>49</v>
      </c>
      <c r="K356" t="s">
        <v>936</v>
      </c>
      <c r="L356" t="s">
        <v>22</v>
      </c>
      <c r="M356" s="3">
        <v>267.07</v>
      </c>
      <c r="N356" s="3">
        <v>0</v>
      </c>
      <c r="P356" t="s">
        <v>23</v>
      </c>
    </row>
    <row r="357" spans="1:16">
      <c r="A357" t="s">
        <v>38</v>
      </c>
      <c r="B357" t="s">
        <v>39</v>
      </c>
      <c r="C357" s="2">
        <v>369031.06</v>
      </c>
      <c r="D357" s="1">
        <v>45733</v>
      </c>
      <c r="E357" s="1">
        <v>45733</v>
      </c>
      <c r="F357" t="s">
        <v>935</v>
      </c>
      <c r="H357" t="s">
        <v>937</v>
      </c>
      <c r="I357" t="s">
        <v>923</v>
      </c>
      <c r="J357" t="s">
        <v>924</v>
      </c>
      <c r="K357" t="s">
        <v>938</v>
      </c>
      <c r="L357" t="s">
        <v>22</v>
      </c>
      <c r="M357" s="3">
        <v>163509.42000000001</v>
      </c>
      <c r="N357" s="3">
        <v>0</v>
      </c>
      <c r="P357" t="s">
        <v>23</v>
      </c>
    </row>
    <row r="358" spans="1:16">
      <c r="A358" t="s">
        <v>38</v>
      </c>
      <c r="B358" t="s">
        <v>39</v>
      </c>
      <c r="C358" s="2">
        <v>369031.06</v>
      </c>
      <c r="D358" s="1">
        <v>45736</v>
      </c>
      <c r="E358" s="1">
        <v>45736</v>
      </c>
      <c r="F358" t="s">
        <v>939</v>
      </c>
      <c r="H358" t="s">
        <v>43</v>
      </c>
      <c r="I358" t="s">
        <v>919</v>
      </c>
      <c r="J358" t="s">
        <v>920</v>
      </c>
      <c r="K358" t="s">
        <v>940</v>
      </c>
      <c r="L358" t="s">
        <v>47</v>
      </c>
      <c r="M358" s="3">
        <v>0</v>
      </c>
      <c r="N358" s="3">
        <v>6080.81</v>
      </c>
      <c r="P358" t="s">
        <v>23</v>
      </c>
    </row>
    <row r="359" spans="1:16">
      <c r="A359" t="s">
        <v>38</v>
      </c>
      <c r="B359" t="s">
        <v>39</v>
      </c>
      <c r="C359" s="2">
        <v>369031.06</v>
      </c>
      <c r="D359" s="1">
        <v>45747</v>
      </c>
      <c r="E359" s="1">
        <v>45747</v>
      </c>
      <c r="H359" t="s">
        <v>403</v>
      </c>
      <c r="I359" t="s">
        <v>404</v>
      </c>
      <c r="J359" t="s">
        <v>403</v>
      </c>
      <c r="K359" t="s">
        <v>941</v>
      </c>
      <c r="L359" t="s">
        <v>406</v>
      </c>
      <c r="M359" s="3">
        <v>339.68</v>
      </c>
      <c r="N359" s="3">
        <v>0</v>
      </c>
      <c r="P359" t="s">
        <v>23</v>
      </c>
    </row>
    <row r="360" spans="1:16">
      <c r="A360" t="s">
        <v>38</v>
      </c>
      <c r="B360" t="s">
        <v>39</v>
      </c>
      <c r="C360" s="2">
        <v>369031.06</v>
      </c>
      <c r="D360" s="1">
        <v>45748</v>
      </c>
      <c r="E360" s="1">
        <v>45748</v>
      </c>
      <c r="F360" t="s">
        <v>942</v>
      </c>
      <c r="H360" t="s">
        <v>43</v>
      </c>
      <c r="I360" t="s">
        <v>915</v>
      </c>
      <c r="J360" t="s">
        <v>916</v>
      </c>
      <c r="K360" t="s">
        <v>943</v>
      </c>
      <c r="L360" t="s">
        <v>47</v>
      </c>
      <c r="M360" s="3">
        <v>0</v>
      </c>
      <c r="N360" s="3">
        <v>2696.09</v>
      </c>
      <c r="P360" t="s">
        <v>23</v>
      </c>
    </row>
    <row r="361" spans="1:16">
      <c r="A361" t="s">
        <v>38</v>
      </c>
      <c r="B361" t="s">
        <v>39</v>
      </c>
      <c r="C361" s="2">
        <v>369031.06</v>
      </c>
      <c r="D361" s="1">
        <v>45762</v>
      </c>
      <c r="E361" s="1">
        <v>45762</v>
      </c>
      <c r="F361" t="s">
        <v>944</v>
      </c>
      <c r="H361" t="s">
        <v>43</v>
      </c>
      <c r="I361" t="s">
        <v>945</v>
      </c>
      <c r="J361" t="s">
        <v>946</v>
      </c>
      <c r="K361" t="s">
        <v>947</v>
      </c>
      <c r="L361" t="s">
        <v>47</v>
      </c>
      <c r="M361" s="3">
        <v>0</v>
      </c>
      <c r="N361" s="3">
        <v>5090.8599999999997</v>
      </c>
      <c r="P361" t="s">
        <v>23</v>
      </c>
    </row>
    <row r="362" spans="1:16">
      <c r="A362" t="s">
        <v>38</v>
      </c>
      <c r="B362" t="s">
        <v>39</v>
      </c>
      <c r="C362" s="2">
        <v>369031.06</v>
      </c>
      <c r="D362" s="1">
        <v>45776</v>
      </c>
      <c r="E362" s="1">
        <v>45776</v>
      </c>
      <c r="F362" t="s">
        <v>505</v>
      </c>
      <c r="H362" t="s">
        <v>192</v>
      </c>
      <c r="I362" t="s">
        <v>15</v>
      </c>
      <c r="J362" t="s">
        <v>16</v>
      </c>
      <c r="K362" t="s">
        <v>506</v>
      </c>
      <c r="L362" t="s">
        <v>41</v>
      </c>
      <c r="M362" s="3">
        <v>0</v>
      </c>
      <c r="N362" s="3">
        <v>79335.91</v>
      </c>
      <c r="P362" t="s">
        <v>23</v>
      </c>
    </row>
    <row r="363" spans="1:16">
      <c r="A363" t="s">
        <v>38</v>
      </c>
      <c r="B363" t="s">
        <v>39</v>
      </c>
      <c r="C363" s="2">
        <v>369031.06</v>
      </c>
      <c r="D363" s="1">
        <v>45777</v>
      </c>
      <c r="E363" s="1">
        <v>45777</v>
      </c>
      <c r="F363" t="s">
        <v>948</v>
      </c>
      <c r="H363" t="s">
        <v>200</v>
      </c>
      <c r="I363" t="s">
        <v>197</v>
      </c>
      <c r="J363" t="s">
        <v>198</v>
      </c>
      <c r="K363" t="s">
        <v>949</v>
      </c>
      <c r="L363" t="s">
        <v>22</v>
      </c>
      <c r="M363" s="3">
        <v>0</v>
      </c>
      <c r="N363" s="3">
        <v>33.58</v>
      </c>
      <c r="P363" t="s">
        <v>23</v>
      </c>
    </row>
    <row r="364" spans="1:16">
      <c r="A364" t="s">
        <v>38</v>
      </c>
      <c r="B364" t="s">
        <v>39</v>
      </c>
      <c r="C364" s="2">
        <v>369031.06</v>
      </c>
      <c r="D364" s="1">
        <v>45777</v>
      </c>
      <c r="E364" s="1">
        <v>45777</v>
      </c>
      <c r="F364" t="s">
        <v>950</v>
      </c>
      <c r="H364" t="s">
        <v>43</v>
      </c>
      <c r="I364" t="s">
        <v>951</v>
      </c>
      <c r="J364" t="s">
        <v>952</v>
      </c>
      <c r="K364" t="s">
        <v>953</v>
      </c>
      <c r="L364" t="s">
        <v>47</v>
      </c>
      <c r="M364" s="3">
        <v>0</v>
      </c>
      <c r="N364" s="3">
        <v>540.69000000000005</v>
      </c>
      <c r="P364" t="s">
        <v>23</v>
      </c>
    </row>
    <row r="365" spans="1:16">
      <c r="A365" t="s">
        <v>38</v>
      </c>
      <c r="B365" t="s">
        <v>39</v>
      </c>
      <c r="C365" s="2">
        <v>369031.06</v>
      </c>
      <c r="D365" s="1">
        <v>45777</v>
      </c>
      <c r="E365" s="1">
        <v>45777</v>
      </c>
      <c r="F365" t="s">
        <v>954</v>
      </c>
      <c r="H365" t="s">
        <v>43</v>
      </c>
      <c r="I365" t="s">
        <v>955</v>
      </c>
      <c r="J365" t="s">
        <v>956</v>
      </c>
      <c r="K365" t="s">
        <v>957</v>
      </c>
      <c r="L365" t="s">
        <v>47</v>
      </c>
      <c r="M365" s="3">
        <v>0</v>
      </c>
      <c r="N365" s="3">
        <v>11109.82</v>
      </c>
      <c r="P365" t="s">
        <v>23</v>
      </c>
    </row>
    <row r="366" spans="1:16">
      <c r="A366" t="s">
        <v>38</v>
      </c>
      <c r="B366" t="s">
        <v>39</v>
      </c>
      <c r="C366" s="2">
        <v>369031.06</v>
      </c>
      <c r="D366" s="1">
        <v>45779</v>
      </c>
      <c r="E366" s="1">
        <v>45779</v>
      </c>
      <c r="F366" t="s">
        <v>17</v>
      </c>
      <c r="H366" t="s">
        <v>726</v>
      </c>
      <c r="I366" t="s">
        <v>910</v>
      </c>
      <c r="J366" t="s">
        <v>911</v>
      </c>
      <c r="K366" t="s">
        <v>958</v>
      </c>
      <c r="L366" t="s">
        <v>22</v>
      </c>
      <c r="M366" s="3">
        <v>0</v>
      </c>
      <c r="N366" s="3">
        <v>129.41</v>
      </c>
      <c r="P366" t="s">
        <v>23</v>
      </c>
    </row>
    <row r="367" spans="1:16">
      <c r="A367" t="s">
        <v>38</v>
      </c>
      <c r="B367" t="s">
        <v>39</v>
      </c>
      <c r="C367" s="2">
        <v>369031.06</v>
      </c>
      <c r="D367" s="1">
        <v>45782</v>
      </c>
      <c r="E367" s="1">
        <v>45782</v>
      </c>
      <c r="F367" t="s">
        <v>959</v>
      </c>
      <c r="H367" t="s">
        <v>786</v>
      </c>
      <c r="I367" t="s">
        <v>923</v>
      </c>
      <c r="J367" t="s">
        <v>924</v>
      </c>
      <c r="K367" t="s">
        <v>960</v>
      </c>
      <c r="L367" t="s">
        <v>22</v>
      </c>
      <c r="M367" s="3">
        <v>0</v>
      </c>
      <c r="N367" s="3">
        <v>90810.63</v>
      </c>
      <c r="P367" t="s">
        <v>23</v>
      </c>
    </row>
    <row r="368" spans="1:16">
      <c r="A368" t="s">
        <v>38</v>
      </c>
      <c r="B368" t="s">
        <v>39</v>
      </c>
      <c r="C368" s="2">
        <v>369031.06</v>
      </c>
      <c r="D368" s="1">
        <v>45792</v>
      </c>
      <c r="E368" s="1">
        <v>45792</v>
      </c>
      <c r="F368" t="s">
        <v>17</v>
      </c>
      <c r="H368" t="s">
        <v>722</v>
      </c>
      <c r="I368" t="s">
        <v>910</v>
      </c>
      <c r="J368" t="s">
        <v>911</v>
      </c>
      <c r="K368" t="s">
        <v>961</v>
      </c>
      <c r="L368" t="s">
        <v>22</v>
      </c>
      <c r="M368" s="3">
        <v>127.98</v>
      </c>
      <c r="N368" s="3">
        <v>0</v>
      </c>
      <c r="P368" t="s">
        <v>23</v>
      </c>
    </row>
    <row r="369" spans="1:16">
      <c r="A369" t="s">
        <v>38</v>
      </c>
      <c r="B369" t="s">
        <v>39</v>
      </c>
      <c r="C369" s="2">
        <v>369031.06</v>
      </c>
      <c r="D369" s="1">
        <v>45808</v>
      </c>
      <c r="E369" s="1">
        <v>45808</v>
      </c>
      <c r="H369" t="s">
        <v>636</v>
      </c>
      <c r="I369" t="s">
        <v>197</v>
      </c>
      <c r="J369" t="s">
        <v>198</v>
      </c>
      <c r="K369" t="s">
        <v>962</v>
      </c>
      <c r="L369" t="s">
        <v>22</v>
      </c>
      <c r="M369" s="3">
        <v>0</v>
      </c>
      <c r="N369" s="3">
        <v>49.9</v>
      </c>
      <c r="P369" t="s">
        <v>23</v>
      </c>
    </row>
    <row r="370" spans="1:16">
      <c r="A370" t="s">
        <v>38</v>
      </c>
      <c r="B370" t="s">
        <v>39</v>
      </c>
      <c r="C370" s="2">
        <v>369031.06</v>
      </c>
      <c r="D370" s="1">
        <v>45811</v>
      </c>
      <c r="E370" s="1">
        <v>45811</v>
      </c>
      <c r="F370" t="s">
        <v>17</v>
      </c>
      <c r="H370" t="s">
        <v>722</v>
      </c>
      <c r="I370" t="s">
        <v>910</v>
      </c>
      <c r="J370" t="s">
        <v>911</v>
      </c>
      <c r="K370" t="s">
        <v>963</v>
      </c>
      <c r="L370" t="s">
        <v>22</v>
      </c>
      <c r="M370" s="3">
        <v>0</v>
      </c>
      <c r="N370" s="3">
        <v>44.72</v>
      </c>
      <c r="P370" t="s">
        <v>23</v>
      </c>
    </row>
    <row r="371" spans="1:16">
      <c r="A371" t="s">
        <v>38</v>
      </c>
      <c r="B371" t="s">
        <v>39</v>
      </c>
      <c r="C371" s="2">
        <v>369031.06</v>
      </c>
      <c r="D371" s="1">
        <v>45811</v>
      </c>
      <c r="E371" s="1">
        <v>45811</v>
      </c>
      <c r="F371" t="s">
        <v>28</v>
      </c>
      <c r="H371" t="s">
        <v>964</v>
      </c>
      <c r="I371" t="s">
        <v>932</v>
      </c>
      <c r="J371" t="s">
        <v>933</v>
      </c>
      <c r="K371" t="s">
        <v>965</v>
      </c>
      <c r="L371" t="s">
        <v>22</v>
      </c>
      <c r="M371" s="3">
        <v>0</v>
      </c>
      <c r="N371" s="3">
        <v>268.77999999999997</v>
      </c>
      <c r="P371" t="s">
        <v>23</v>
      </c>
    </row>
    <row r="372" spans="1:16">
      <c r="A372" t="s">
        <v>38</v>
      </c>
      <c r="B372" t="s">
        <v>39</v>
      </c>
      <c r="C372" s="2">
        <v>369031.06</v>
      </c>
      <c r="D372" s="1">
        <v>45813</v>
      </c>
      <c r="E372" s="1">
        <v>45813</v>
      </c>
      <c r="F372" t="s">
        <v>966</v>
      </c>
      <c r="H372" t="s">
        <v>215</v>
      </c>
      <c r="I372" t="s">
        <v>923</v>
      </c>
      <c r="J372" t="s">
        <v>924</v>
      </c>
      <c r="K372" t="s">
        <v>967</v>
      </c>
      <c r="L372" t="s">
        <v>41</v>
      </c>
      <c r="M372" s="3">
        <v>90728.82</v>
      </c>
      <c r="N372" s="3">
        <v>0</v>
      </c>
      <c r="P372" t="s">
        <v>23</v>
      </c>
    </row>
    <row r="373" spans="1:16">
      <c r="A373" t="s">
        <v>38</v>
      </c>
      <c r="B373" t="s">
        <v>39</v>
      </c>
      <c r="C373" s="2">
        <v>369031.06</v>
      </c>
      <c r="D373" s="1">
        <v>45813</v>
      </c>
      <c r="E373" s="1">
        <v>45813</v>
      </c>
      <c r="F373" t="s">
        <v>966</v>
      </c>
      <c r="H373" t="s">
        <v>49</v>
      </c>
      <c r="I373" t="s">
        <v>50</v>
      </c>
      <c r="J373" t="s">
        <v>49</v>
      </c>
      <c r="K373" t="s">
        <v>968</v>
      </c>
      <c r="L373" t="s">
        <v>41</v>
      </c>
      <c r="M373" s="3">
        <v>160.94</v>
      </c>
      <c r="N373" s="3">
        <v>0</v>
      </c>
      <c r="P373" t="s">
        <v>23</v>
      </c>
    </row>
    <row r="374" spans="1:16">
      <c r="A374" t="s">
        <v>38</v>
      </c>
      <c r="B374" t="s">
        <v>39</v>
      </c>
      <c r="C374" s="2">
        <v>369031.06</v>
      </c>
      <c r="D374" s="1">
        <v>45813</v>
      </c>
      <c r="E374" s="1">
        <v>45813</v>
      </c>
      <c r="F374" t="s">
        <v>966</v>
      </c>
      <c r="H374" t="s">
        <v>889</v>
      </c>
      <c r="I374" t="s">
        <v>890</v>
      </c>
      <c r="J374" t="s">
        <v>889</v>
      </c>
      <c r="K374" t="s">
        <v>969</v>
      </c>
      <c r="L374" t="s">
        <v>41</v>
      </c>
      <c r="M374" s="3">
        <v>0</v>
      </c>
      <c r="N374" s="3">
        <v>37.020000000000003</v>
      </c>
      <c r="P374" t="s">
        <v>23</v>
      </c>
    </row>
    <row r="375" spans="1:16">
      <c r="A375" t="s">
        <v>38</v>
      </c>
      <c r="B375" t="s">
        <v>39</v>
      </c>
      <c r="C375" s="2">
        <v>369031.06</v>
      </c>
      <c r="D375" s="1">
        <v>45821</v>
      </c>
      <c r="E375" s="1">
        <v>45821</v>
      </c>
      <c r="F375" t="s">
        <v>970</v>
      </c>
      <c r="H375" t="s">
        <v>971</v>
      </c>
      <c r="I375" t="s">
        <v>38</v>
      </c>
      <c r="J375" t="s">
        <v>39</v>
      </c>
      <c r="K375" t="s">
        <v>972</v>
      </c>
      <c r="L375" t="s">
        <v>22</v>
      </c>
      <c r="M375" s="3">
        <v>0</v>
      </c>
      <c r="N375" s="3">
        <v>3.46</v>
      </c>
      <c r="P375" t="s">
        <v>23</v>
      </c>
    </row>
    <row r="376" spans="1:16">
      <c r="A376" t="s">
        <v>38</v>
      </c>
      <c r="B376" t="s">
        <v>39</v>
      </c>
      <c r="C376" s="2">
        <v>369031.06</v>
      </c>
      <c r="D376" s="1">
        <v>45821</v>
      </c>
      <c r="E376" s="1">
        <v>45821</v>
      </c>
      <c r="F376" t="s">
        <v>970</v>
      </c>
      <c r="H376" t="s">
        <v>971</v>
      </c>
      <c r="I376" t="s">
        <v>38</v>
      </c>
      <c r="J376" t="s">
        <v>39</v>
      </c>
      <c r="K376" t="s">
        <v>972</v>
      </c>
      <c r="L376" t="s">
        <v>22</v>
      </c>
      <c r="M376" s="3">
        <v>3.46</v>
      </c>
      <c r="N376" s="3">
        <v>0</v>
      </c>
      <c r="P376" t="s">
        <v>23</v>
      </c>
    </row>
    <row r="377" spans="1:16">
      <c r="A377" t="s">
        <v>38</v>
      </c>
      <c r="B377" t="s">
        <v>39</v>
      </c>
      <c r="C377" s="2">
        <v>369031.06</v>
      </c>
      <c r="D377" s="1">
        <v>45824</v>
      </c>
      <c r="E377" s="1">
        <v>45824</v>
      </c>
      <c r="H377" t="s">
        <v>592</v>
      </c>
      <c r="I377" t="s">
        <v>15</v>
      </c>
      <c r="J377" t="s">
        <v>16</v>
      </c>
      <c r="K377" t="s">
        <v>657</v>
      </c>
      <c r="L377" t="s">
        <v>41</v>
      </c>
      <c r="M377" s="3">
        <v>0</v>
      </c>
      <c r="N377" s="3">
        <v>92363.02</v>
      </c>
      <c r="P377" t="s">
        <v>23</v>
      </c>
    </row>
    <row r="378" spans="1:16">
      <c r="A378" t="s">
        <v>38</v>
      </c>
      <c r="B378" t="s">
        <v>39</v>
      </c>
      <c r="C378" s="2">
        <v>369031.06</v>
      </c>
      <c r="D378" s="1">
        <v>45826</v>
      </c>
      <c r="E378" s="1">
        <v>45826</v>
      </c>
      <c r="F378" t="s">
        <v>973</v>
      </c>
      <c r="H378" t="s">
        <v>974</v>
      </c>
      <c r="I378" t="s">
        <v>975</v>
      </c>
      <c r="J378" t="s">
        <v>976</v>
      </c>
      <c r="K378" t="s">
        <v>977</v>
      </c>
      <c r="L378" t="s">
        <v>47</v>
      </c>
      <c r="M378" s="3">
        <v>0</v>
      </c>
      <c r="N378" s="3">
        <v>3695.09</v>
      </c>
      <c r="P378" t="s">
        <v>23</v>
      </c>
    </row>
    <row r="379" spans="1:16">
      <c r="A379" t="s">
        <v>38</v>
      </c>
      <c r="B379" t="s">
        <v>39</v>
      </c>
      <c r="C379" s="2">
        <v>369031.06</v>
      </c>
      <c r="D379" s="1">
        <v>45826</v>
      </c>
      <c r="E379" s="1">
        <v>45826</v>
      </c>
      <c r="F379" t="s">
        <v>978</v>
      </c>
      <c r="H379" t="s">
        <v>43</v>
      </c>
      <c r="I379" t="s">
        <v>955</v>
      </c>
      <c r="J379" t="s">
        <v>956</v>
      </c>
      <c r="K379" t="s">
        <v>979</v>
      </c>
      <c r="L379" t="s">
        <v>47</v>
      </c>
      <c r="M379" s="3">
        <v>0</v>
      </c>
      <c r="N379" s="3">
        <v>9655.85</v>
      </c>
      <c r="P379" t="s">
        <v>23</v>
      </c>
    </row>
    <row r="380" spans="1:16">
      <c r="A380" t="s">
        <v>38</v>
      </c>
      <c r="B380" t="s">
        <v>39</v>
      </c>
      <c r="C380" s="2">
        <v>369031.06</v>
      </c>
      <c r="D380" s="1">
        <v>45831</v>
      </c>
      <c r="E380" s="1">
        <v>45831</v>
      </c>
      <c r="H380" t="s">
        <v>980</v>
      </c>
      <c r="I380" t="s">
        <v>197</v>
      </c>
      <c r="J380" t="s">
        <v>198</v>
      </c>
      <c r="K380" t="s">
        <v>981</v>
      </c>
      <c r="L380" t="s">
        <v>22</v>
      </c>
      <c r="M380" s="3">
        <v>0</v>
      </c>
      <c r="N380" s="3">
        <v>13.75</v>
      </c>
      <c r="P380" t="s">
        <v>23</v>
      </c>
    </row>
    <row r="381" spans="1:16">
      <c r="A381" t="s">
        <v>545</v>
      </c>
      <c r="B381" t="s">
        <v>546</v>
      </c>
      <c r="C381" s="2">
        <v>2383.14</v>
      </c>
      <c r="D381" s="1">
        <v>45747</v>
      </c>
      <c r="E381" s="1">
        <v>45747</v>
      </c>
      <c r="H381" t="s">
        <v>403</v>
      </c>
      <c r="I381" t="s">
        <v>404</v>
      </c>
      <c r="J381" t="s">
        <v>403</v>
      </c>
      <c r="K381" t="s">
        <v>982</v>
      </c>
      <c r="L381" t="s">
        <v>406</v>
      </c>
      <c r="M381" s="3">
        <v>75.349999999999994</v>
      </c>
      <c r="N381" s="3">
        <v>0</v>
      </c>
      <c r="P381" t="s">
        <v>23</v>
      </c>
    </row>
    <row r="382" spans="1:16">
      <c r="A382" t="s">
        <v>545</v>
      </c>
      <c r="B382" t="s">
        <v>546</v>
      </c>
      <c r="C382" s="2">
        <v>2383.14</v>
      </c>
      <c r="D382" s="1">
        <v>45789</v>
      </c>
      <c r="E382" s="1">
        <v>45789</v>
      </c>
      <c r="H382" t="s">
        <v>544</v>
      </c>
      <c r="I382" t="s">
        <v>15</v>
      </c>
      <c r="J382" t="s">
        <v>16</v>
      </c>
      <c r="K382" t="s">
        <v>547</v>
      </c>
      <c r="L382" t="s">
        <v>41</v>
      </c>
      <c r="M382" s="3">
        <v>2000.79</v>
      </c>
      <c r="N382" s="3">
        <v>0</v>
      </c>
      <c r="P382" t="s">
        <v>23</v>
      </c>
    </row>
    <row r="383" spans="1:16">
      <c r="A383" t="s">
        <v>545</v>
      </c>
      <c r="B383" t="s">
        <v>546</v>
      </c>
      <c r="C383" s="2">
        <v>2383.14</v>
      </c>
      <c r="D383" s="1">
        <v>45809</v>
      </c>
      <c r="E383" s="1">
        <v>45789</v>
      </c>
      <c r="F383" t="s">
        <v>983</v>
      </c>
      <c r="H383" t="s">
        <v>43</v>
      </c>
      <c r="I383" t="s">
        <v>984</v>
      </c>
      <c r="J383" t="s">
        <v>985</v>
      </c>
      <c r="K383" t="s">
        <v>986</v>
      </c>
      <c r="L383" t="s">
        <v>47</v>
      </c>
      <c r="M383" s="3">
        <v>0</v>
      </c>
      <c r="N383" s="3">
        <v>4519.96</v>
      </c>
      <c r="P383" t="s">
        <v>23</v>
      </c>
    </row>
    <row r="384" spans="1:16">
      <c r="A384" t="s">
        <v>545</v>
      </c>
      <c r="B384" t="s">
        <v>546</v>
      </c>
      <c r="C384" s="2">
        <v>2383.14</v>
      </c>
      <c r="D384" s="1">
        <v>45811</v>
      </c>
      <c r="E384" s="1">
        <v>45811</v>
      </c>
      <c r="F384" t="s">
        <v>987</v>
      </c>
      <c r="H384" t="s">
        <v>43</v>
      </c>
      <c r="I384" t="s">
        <v>984</v>
      </c>
      <c r="J384" t="s">
        <v>985</v>
      </c>
      <c r="K384" t="s">
        <v>988</v>
      </c>
      <c r="L384" t="s">
        <v>47</v>
      </c>
      <c r="M384" s="3">
        <v>0</v>
      </c>
      <c r="N384" s="3">
        <v>1120.1500000000001</v>
      </c>
      <c r="P384" t="s">
        <v>23</v>
      </c>
    </row>
    <row r="385" spans="1:16">
      <c r="A385" t="s">
        <v>545</v>
      </c>
      <c r="B385" t="s">
        <v>546</v>
      </c>
      <c r="C385" s="2">
        <v>2383.14</v>
      </c>
      <c r="D385" s="1">
        <v>45811</v>
      </c>
      <c r="E385" s="1">
        <v>45811</v>
      </c>
      <c r="F385" t="s">
        <v>646</v>
      </c>
      <c r="H385" t="s">
        <v>647</v>
      </c>
      <c r="I385" t="s">
        <v>15</v>
      </c>
      <c r="J385" t="s">
        <v>16</v>
      </c>
      <c r="K385" t="s">
        <v>648</v>
      </c>
      <c r="L385" t="s">
        <v>41</v>
      </c>
      <c r="M385" s="3">
        <v>1128.77</v>
      </c>
      <c r="N385" s="3">
        <v>0</v>
      </c>
      <c r="P385" t="s">
        <v>23</v>
      </c>
    </row>
    <row r="386" spans="1:16">
      <c r="A386" t="s">
        <v>772</v>
      </c>
      <c r="B386" t="s">
        <v>773</v>
      </c>
      <c r="C386" s="2">
        <v>19895.419999999998</v>
      </c>
      <c r="D386" s="1">
        <v>45659</v>
      </c>
      <c r="E386" s="1">
        <v>45659</v>
      </c>
      <c r="H386" t="s">
        <v>989</v>
      </c>
      <c r="I386" t="s">
        <v>990</v>
      </c>
      <c r="J386" t="s">
        <v>991</v>
      </c>
      <c r="K386" t="s">
        <v>992</v>
      </c>
      <c r="L386" t="s">
        <v>22</v>
      </c>
      <c r="M386" s="3">
        <v>0</v>
      </c>
      <c r="N386" s="3">
        <v>929</v>
      </c>
      <c r="P386" t="s">
        <v>23</v>
      </c>
    </row>
    <row r="387" spans="1:16">
      <c r="A387" t="s">
        <v>772</v>
      </c>
      <c r="B387" t="s">
        <v>773</v>
      </c>
      <c r="C387" s="2">
        <v>19895.419999999998</v>
      </c>
      <c r="D387" s="1">
        <v>45659</v>
      </c>
      <c r="E387" s="1">
        <v>45659</v>
      </c>
      <c r="F387" t="s">
        <v>993</v>
      </c>
      <c r="H387" t="s">
        <v>994</v>
      </c>
      <c r="I387" t="s">
        <v>995</v>
      </c>
      <c r="J387" t="s">
        <v>996</v>
      </c>
      <c r="K387" t="s">
        <v>997</v>
      </c>
      <c r="L387" t="s">
        <v>22</v>
      </c>
      <c r="M387" s="3">
        <v>4120</v>
      </c>
      <c r="N387" s="3">
        <v>0</v>
      </c>
      <c r="P387" t="s">
        <v>23</v>
      </c>
    </row>
    <row r="388" spans="1:16">
      <c r="A388" t="s">
        <v>772</v>
      </c>
      <c r="B388" t="s">
        <v>773</v>
      </c>
      <c r="C388" s="2">
        <v>19895.419999999998</v>
      </c>
      <c r="D388" s="1">
        <v>45663</v>
      </c>
      <c r="E388" s="1">
        <v>45663</v>
      </c>
      <c r="H388" t="s">
        <v>998</v>
      </c>
      <c r="I388" t="s">
        <v>742</v>
      </c>
      <c r="J388" t="s">
        <v>743</v>
      </c>
      <c r="K388" t="s">
        <v>999</v>
      </c>
      <c r="L388" t="s">
        <v>41</v>
      </c>
      <c r="M388" s="3">
        <v>2750.28</v>
      </c>
      <c r="N388" s="3">
        <v>0</v>
      </c>
      <c r="P388" t="s">
        <v>23</v>
      </c>
    </row>
    <row r="389" spans="1:16">
      <c r="A389" t="s">
        <v>772</v>
      </c>
      <c r="B389" t="s">
        <v>773</v>
      </c>
      <c r="C389" s="2">
        <v>19895.419999999998</v>
      </c>
      <c r="D389" s="1">
        <v>45663</v>
      </c>
      <c r="E389" s="1">
        <v>45663</v>
      </c>
      <c r="H389" t="s">
        <v>1000</v>
      </c>
      <c r="I389" t="s">
        <v>742</v>
      </c>
      <c r="J389" t="s">
        <v>743</v>
      </c>
      <c r="K389" t="s">
        <v>1001</v>
      </c>
      <c r="L389" t="s">
        <v>22</v>
      </c>
      <c r="M389" s="3">
        <v>10000</v>
      </c>
      <c r="N389" s="3">
        <v>0</v>
      </c>
      <c r="P389" t="s">
        <v>23</v>
      </c>
    </row>
    <row r="390" spans="1:16">
      <c r="A390" t="s">
        <v>772</v>
      </c>
      <c r="B390" t="s">
        <v>773</v>
      </c>
      <c r="C390" s="2">
        <v>19895.419999999998</v>
      </c>
      <c r="D390" s="1">
        <v>45663</v>
      </c>
      <c r="E390" s="1">
        <v>45663</v>
      </c>
      <c r="H390" t="s">
        <v>1002</v>
      </c>
      <c r="I390" t="s">
        <v>742</v>
      </c>
      <c r="J390" t="s">
        <v>743</v>
      </c>
      <c r="K390" t="s">
        <v>1003</v>
      </c>
      <c r="L390" t="s">
        <v>41</v>
      </c>
      <c r="M390" s="3">
        <v>-2750.28</v>
      </c>
      <c r="N390" s="3">
        <v>0</v>
      </c>
      <c r="P390" t="s">
        <v>23</v>
      </c>
    </row>
    <row r="391" spans="1:16">
      <c r="A391" t="s">
        <v>772</v>
      </c>
      <c r="B391" t="s">
        <v>773</v>
      </c>
      <c r="C391" s="2">
        <v>19895.419999999998</v>
      </c>
      <c r="D391" s="1">
        <v>45672</v>
      </c>
      <c r="E391" s="1">
        <v>45672</v>
      </c>
      <c r="H391" t="s">
        <v>1004</v>
      </c>
      <c r="I391" t="s">
        <v>1005</v>
      </c>
      <c r="J391" t="s">
        <v>1006</v>
      </c>
      <c r="K391" t="s">
        <v>1007</v>
      </c>
      <c r="L391" t="s">
        <v>22</v>
      </c>
      <c r="M391" s="3">
        <v>0</v>
      </c>
      <c r="N391" s="3">
        <v>10000</v>
      </c>
      <c r="P391" t="s">
        <v>23</v>
      </c>
    </row>
    <row r="392" spans="1:16">
      <c r="A392" t="s">
        <v>772</v>
      </c>
      <c r="B392" t="s">
        <v>773</v>
      </c>
      <c r="C392" s="2">
        <v>19895.419999999998</v>
      </c>
      <c r="D392" s="1">
        <v>45684</v>
      </c>
      <c r="E392" s="1">
        <v>45684</v>
      </c>
      <c r="H392" t="s">
        <v>1004</v>
      </c>
      <c r="I392" t="s">
        <v>1005</v>
      </c>
      <c r="J392" t="s">
        <v>1006</v>
      </c>
      <c r="K392" t="s">
        <v>1008</v>
      </c>
      <c r="L392" t="s">
        <v>22</v>
      </c>
      <c r="M392" s="3">
        <v>0</v>
      </c>
      <c r="N392" s="3">
        <v>10000</v>
      </c>
      <c r="P392" t="s">
        <v>23</v>
      </c>
    </row>
    <row r="393" spans="1:16">
      <c r="A393" t="s">
        <v>772</v>
      </c>
      <c r="B393" t="s">
        <v>773</v>
      </c>
      <c r="C393" s="2">
        <v>19895.419999999998</v>
      </c>
      <c r="D393" s="1">
        <v>45687</v>
      </c>
      <c r="E393" s="1">
        <v>45687</v>
      </c>
      <c r="F393" t="s">
        <v>770</v>
      </c>
      <c r="H393" t="s">
        <v>771</v>
      </c>
      <c r="I393" t="s">
        <v>193</v>
      </c>
      <c r="J393" t="s">
        <v>194</v>
      </c>
      <c r="K393" t="s">
        <v>774</v>
      </c>
      <c r="L393" t="s">
        <v>22</v>
      </c>
      <c r="M393" s="3">
        <v>30000</v>
      </c>
      <c r="N393" s="3">
        <v>0</v>
      </c>
      <c r="P393" t="s">
        <v>23</v>
      </c>
    </row>
    <row r="394" spans="1:16">
      <c r="A394" t="s">
        <v>772</v>
      </c>
      <c r="B394" t="s">
        <v>773</v>
      </c>
      <c r="C394" s="2">
        <v>19895.419999999998</v>
      </c>
      <c r="D394" s="1">
        <v>45687</v>
      </c>
      <c r="E394" s="1">
        <v>45687</v>
      </c>
      <c r="H394" t="s">
        <v>1009</v>
      </c>
      <c r="I394" t="s">
        <v>1010</v>
      </c>
      <c r="J394" t="s">
        <v>1011</v>
      </c>
      <c r="K394" t="s">
        <v>1012</v>
      </c>
      <c r="L394" t="s">
        <v>22</v>
      </c>
      <c r="M394" s="3">
        <v>0</v>
      </c>
      <c r="N394" s="3">
        <v>2800</v>
      </c>
      <c r="P394" t="s">
        <v>23</v>
      </c>
    </row>
    <row r="395" spans="1:16">
      <c r="A395" t="s">
        <v>772</v>
      </c>
      <c r="B395" t="s">
        <v>773</v>
      </c>
      <c r="C395" s="2">
        <v>19895.419999999998</v>
      </c>
      <c r="D395" s="1">
        <v>45688</v>
      </c>
      <c r="E395" s="1">
        <v>45688</v>
      </c>
      <c r="H395" t="s">
        <v>1013</v>
      </c>
      <c r="I395" t="s">
        <v>1014</v>
      </c>
      <c r="J395" t="s">
        <v>1015</v>
      </c>
      <c r="K395" t="s">
        <v>1016</v>
      </c>
      <c r="L395" t="s">
        <v>22</v>
      </c>
      <c r="M395" s="3">
        <v>0</v>
      </c>
      <c r="N395" s="3">
        <v>3600</v>
      </c>
      <c r="P395" t="s">
        <v>23</v>
      </c>
    </row>
    <row r="396" spans="1:16">
      <c r="A396" t="s">
        <v>772</v>
      </c>
      <c r="B396" t="s">
        <v>773</v>
      </c>
      <c r="C396" s="2">
        <v>19895.419999999998</v>
      </c>
      <c r="D396" s="1">
        <v>45690</v>
      </c>
      <c r="E396" s="1">
        <v>45690</v>
      </c>
      <c r="H396" t="s">
        <v>1017</v>
      </c>
      <c r="I396" t="s">
        <v>1018</v>
      </c>
      <c r="J396" t="s">
        <v>1019</v>
      </c>
      <c r="K396" t="s">
        <v>1020</v>
      </c>
      <c r="L396" t="s">
        <v>41</v>
      </c>
      <c r="M396" s="3">
        <v>0</v>
      </c>
      <c r="N396" s="3">
        <v>5400</v>
      </c>
      <c r="P396" t="s">
        <v>23</v>
      </c>
    </row>
    <row r="397" spans="1:16">
      <c r="A397" t="s">
        <v>772</v>
      </c>
      <c r="B397" t="s">
        <v>773</v>
      </c>
      <c r="C397" s="2">
        <v>19895.419999999998</v>
      </c>
      <c r="D397" s="1">
        <v>45707</v>
      </c>
      <c r="E397" s="1">
        <v>45707</v>
      </c>
      <c r="H397" t="s">
        <v>43</v>
      </c>
      <c r="I397" t="s">
        <v>1021</v>
      </c>
      <c r="J397" t="s">
        <v>1022</v>
      </c>
      <c r="K397" t="s">
        <v>1023</v>
      </c>
      <c r="L397" t="s">
        <v>22</v>
      </c>
      <c r="M397" s="3">
        <v>0</v>
      </c>
      <c r="N397" s="3">
        <v>4038</v>
      </c>
      <c r="P397" t="s">
        <v>23</v>
      </c>
    </row>
    <row r="398" spans="1:16">
      <c r="A398" t="s">
        <v>772</v>
      </c>
      <c r="B398" t="s">
        <v>773</v>
      </c>
      <c r="C398" s="2">
        <v>19895.419999999998</v>
      </c>
      <c r="D398" s="1">
        <v>45707</v>
      </c>
      <c r="E398" s="1">
        <v>45707</v>
      </c>
      <c r="H398" t="s">
        <v>43</v>
      </c>
      <c r="I398" t="s">
        <v>1024</v>
      </c>
      <c r="J398" t="s">
        <v>1025</v>
      </c>
      <c r="K398" t="s">
        <v>1026</v>
      </c>
      <c r="L398" t="s">
        <v>22</v>
      </c>
      <c r="M398" s="3">
        <v>0</v>
      </c>
      <c r="N398" s="3">
        <v>20000</v>
      </c>
      <c r="P398" t="s">
        <v>23</v>
      </c>
    </row>
    <row r="399" spans="1:16">
      <c r="A399" t="s">
        <v>772</v>
      </c>
      <c r="B399" t="s">
        <v>773</v>
      </c>
      <c r="C399" s="2">
        <v>19895.419999999998</v>
      </c>
      <c r="D399" s="1">
        <v>45714</v>
      </c>
      <c r="E399" s="1">
        <v>45714</v>
      </c>
      <c r="F399" t="s">
        <v>809</v>
      </c>
      <c r="H399" t="s">
        <v>810</v>
      </c>
      <c r="I399" t="s">
        <v>193</v>
      </c>
      <c r="J399" t="s">
        <v>194</v>
      </c>
      <c r="K399" t="s">
        <v>811</v>
      </c>
      <c r="L399" t="s">
        <v>22</v>
      </c>
      <c r="M399" s="3">
        <v>50000</v>
      </c>
      <c r="N399" s="3">
        <v>0</v>
      </c>
      <c r="P399" t="s">
        <v>23</v>
      </c>
    </row>
    <row r="400" spans="1:16">
      <c r="A400" t="s">
        <v>772</v>
      </c>
      <c r="B400" t="s">
        <v>773</v>
      </c>
      <c r="C400" s="2">
        <v>19895.419999999998</v>
      </c>
      <c r="D400" s="1">
        <v>45714</v>
      </c>
      <c r="E400" s="1">
        <v>45714</v>
      </c>
      <c r="H400" t="s">
        <v>1027</v>
      </c>
      <c r="I400" t="s">
        <v>990</v>
      </c>
      <c r="J400" t="s">
        <v>991</v>
      </c>
      <c r="K400" t="s">
        <v>1028</v>
      </c>
      <c r="L400" t="s">
        <v>22</v>
      </c>
      <c r="M400" s="3">
        <v>0</v>
      </c>
      <c r="N400" s="3">
        <v>1828.16</v>
      </c>
      <c r="P400" t="s">
        <v>23</v>
      </c>
    </row>
    <row r="401" spans="1:16">
      <c r="A401" t="s">
        <v>772</v>
      </c>
      <c r="B401" t="s">
        <v>773</v>
      </c>
      <c r="C401" s="2">
        <v>19895.419999999998</v>
      </c>
      <c r="D401" s="1">
        <v>45715</v>
      </c>
      <c r="E401" s="1">
        <v>45715</v>
      </c>
      <c r="H401" t="s">
        <v>1004</v>
      </c>
      <c r="I401" t="s">
        <v>1029</v>
      </c>
      <c r="J401" t="s">
        <v>1030</v>
      </c>
      <c r="K401" t="s">
        <v>1031</v>
      </c>
      <c r="L401" t="s">
        <v>22</v>
      </c>
      <c r="M401" s="3">
        <v>0</v>
      </c>
      <c r="N401" s="3">
        <v>15000</v>
      </c>
      <c r="P401" t="s">
        <v>23</v>
      </c>
    </row>
    <row r="402" spans="1:16">
      <c r="A402" t="s">
        <v>772</v>
      </c>
      <c r="B402" t="s">
        <v>773</v>
      </c>
      <c r="C402" s="2">
        <v>19895.419999999998</v>
      </c>
      <c r="D402" s="1">
        <v>45723</v>
      </c>
      <c r="E402" s="1">
        <v>45723</v>
      </c>
      <c r="H402" t="s">
        <v>1032</v>
      </c>
      <c r="I402" t="s">
        <v>753</v>
      </c>
      <c r="J402" t="s">
        <v>754</v>
      </c>
      <c r="K402" t="s">
        <v>1033</v>
      </c>
      <c r="L402" t="s">
        <v>22</v>
      </c>
      <c r="M402" s="3">
        <v>200</v>
      </c>
      <c r="N402" s="3">
        <v>0</v>
      </c>
      <c r="P402" t="s">
        <v>23</v>
      </c>
    </row>
    <row r="403" spans="1:16">
      <c r="A403" t="s">
        <v>772</v>
      </c>
      <c r="B403" t="s">
        <v>773</v>
      </c>
      <c r="C403" s="2">
        <v>19895.419999999998</v>
      </c>
      <c r="D403" s="1">
        <v>45736</v>
      </c>
      <c r="E403" s="1">
        <v>45736</v>
      </c>
      <c r="H403" t="s">
        <v>43</v>
      </c>
      <c r="I403" t="s">
        <v>1021</v>
      </c>
      <c r="J403" t="s">
        <v>1022</v>
      </c>
      <c r="K403" t="s">
        <v>1034</v>
      </c>
      <c r="L403" t="s">
        <v>22</v>
      </c>
      <c r="M403" s="3">
        <v>0</v>
      </c>
      <c r="N403" s="3">
        <v>11681</v>
      </c>
      <c r="P403" t="s">
        <v>23</v>
      </c>
    </row>
    <row r="404" spans="1:16">
      <c r="A404" t="s">
        <v>772</v>
      </c>
      <c r="B404" t="s">
        <v>773</v>
      </c>
      <c r="C404" s="2">
        <v>19895.419999999998</v>
      </c>
      <c r="D404" s="1">
        <v>45743</v>
      </c>
      <c r="E404" s="1">
        <v>45743</v>
      </c>
      <c r="H404" t="s">
        <v>1035</v>
      </c>
      <c r="I404" t="s">
        <v>1029</v>
      </c>
      <c r="J404" t="s">
        <v>1030</v>
      </c>
      <c r="K404" t="s">
        <v>1036</v>
      </c>
      <c r="L404" t="s">
        <v>22</v>
      </c>
      <c r="M404" s="3">
        <v>0</v>
      </c>
      <c r="N404" s="3">
        <v>15000</v>
      </c>
      <c r="P404" t="s">
        <v>23</v>
      </c>
    </row>
    <row r="405" spans="1:16">
      <c r="A405" t="s">
        <v>772</v>
      </c>
      <c r="B405" t="s">
        <v>773</v>
      </c>
      <c r="C405" s="2">
        <v>19895.419999999998</v>
      </c>
      <c r="D405" s="1">
        <v>45747</v>
      </c>
      <c r="E405" s="1">
        <v>45747</v>
      </c>
      <c r="H405" t="s">
        <v>403</v>
      </c>
      <c r="I405" t="s">
        <v>404</v>
      </c>
      <c r="J405" t="s">
        <v>403</v>
      </c>
      <c r="K405" t="s">
        <v>1037</v>
      </c>
      <c r="L405" t="s">
        <v>406</v>
      </c>
      <c r="M405" s="3">
        <v>0</v>
      </c>
      <c r="N405" s="3">
        <v>0</v>
      </c>
      <c r="P405" t="s">
        <v>23</v>
      </c>
    </row>
    <row r="406" spans="1:16">
      <c r="A406" t="s">
        <v>772</v>
      </c>
      <c r="B406" t="s">
        <v>773</v>
      </c>
      <c r="C406" s="2">
        <v>19895.419999999998</v>
      </c>
      <c r="D406" s="1">
        <v>45755</v>
      </c>
      <c r="E406" s="1">
        <v>45755</v>
      </c>
      <c r="H406" t="s">
        <v>1038</v>
      </c>
      <c r="I406" t="s">
        <v>1039</v>
      </c>
      <c r="J406" t="s">
        <v>1040</v>
      </c>
      <c r="K406" t="s">
        <v>1041</v>
      </c>
      <c r="L406" t="s">
        <v>22</v>
      </c>
      <c r="M406" s="3">
        <v>50000</v>
      </c>
      <c r="N406" s="3">
        <v>0</v>
      </c>
      <c r="P406" t="s">
        <v>23</v>
      </c>
    </row>
    <row r="407" spans="1:16">
      <c r="A407" t="s">
        <v>772</v>
      </c>
      <c r="B407" t="s">
        <v>773</v>
      </c>
      <c r="C407" s="2">
        <v>19895.419999999998</v>
      </c>
      <c r="D407" s="1">
        <v>45757</v>
      </c>
      <c r="E407" s="1">
        <v>45757</v>
      </c>
      <c r="H407" t="s">
        <v>1004</v>
      </c>
      <c r="I407" t="s">
        <v>1029</v>
      </c>
      <c r="J407" t="s">
        <v>1030</v>
      </c>
      <c r="K407" t="s">
        <v>1042</v>
      </c>
      <c r="L407" t="s">
        <v>22</v>
      </c>
      <c r="M407" s="3">
        <v>0</v>
      </c>
      <c r="N407" s="3">
        <v>20000</v>
      </c>
      <c r="P407" t="s">
        <v>23</v>
      </c>
    </row>
    <row r="408" spans="1:16">
      <c r="A408" t="s">
        <v>772</v>
      </c>
      <c r="B408" t="s">
        <v>773</v>
      </c>
      <c r="C408" s="2">
        <v>19895.419999999998</v>
      </c>
      <c r="D408" s="1">
        <v>45762</v>
      </c>
      <c r="E408" s="1">
        <v>45762</v>
      </c>
      <c r="H408" t="s">
        <v>1043</v>
      </c>
      <c r="I408" t="s">
        <v>1039</v>
      </c>
      <c r="J408" t="s">
        <v>1040</v>
      </c>
      <c r="K408" t="s">
        <v>1044</v>
      </c>
      <c r="L408" t="s">
        <v>22</v>
      </c>
      <c r="M408" s="3">
        <v>120000</v>
      </c>
      <c r="N408" s="3">
        <v>0</v>
      </c>
      <c r="P408" t="s">
        <v>23</v>
      </c>
    </row>
    <row r="409" spans="1:16">
      <c r="A409" t="s">
        <v>772</v>
      </c>
      <c r="B409" t="s">
        <v>773</v>
      </c>
      <c r="C409" s="2">
        <v>19895.419999999998</v>
      </c>
      <c r="D409" s="1">
        <v>45762</v>
      </c>
      <c r="E409" s="1">
        <v>45762</v>
      </c>
      <c r="H409" t="s">
        <v>1043</v>
      </c>
      <c r="I409" t="s">
        <v>1039</v>
      </c>
      <c r="J409" t="s">
        <v>1040</v>
      </c>
      <c r="K409" t="s">
        <v>1045</v>
      </c>
      <c r="L409" t="s">
        <v>22</v>
      </c>
      <c r="M409" s="3">
        <v>131500</v>
      </c>
      <c r="N409" s="3">
        <v>0</v>
      </c>
      <c r="P409" t="s">
        <v>23</v>
      </c>
    </row>
    <row r="410" spans="1:16">
      <c r="A410" t="s">
        <v>772</v>
      </c>
      <c r="B410" t="s">
        <v>773</v>
      </c>
      <c r="C410" s="2">
        <v>19895.419999999998</v>
      </c>
      <c r="D410" s="1">
        <v>45775</v>
      </c>
      <c r="E410" s="1">
        <v>45775</v>
      </c>
      <c r="H410" t="s">
        <v>1046</v>
      </c>
      <c r="I410" t="s">
        <v>990</v>
      </c>
      <c r="J410" t="s">
        <v>991</v>
      </c>
      <c r="K410" t="s">
        <v>1047</v>
      </c>
      <c r="L410" t="s">
        <v>22</v>
      </c>
      <c r="M410" s="3">
        <v>0</v>
      </c>
      <c r="N410" s="3">
        <v>996</v>
      </c>
      <c r="P410" t="s">
        <v>23</v>
      </c>
    </row>
    <row r="411" spans="1:16">
      <c r="A411" t="s">
        <v>772</v>
      </c>
      <c r="B411" t="s">
        <v>773</v>
      </c>
      <c r="C411" s="2">
        <v>19895.419999999998</v>
      </c>
      <c r="D411" s="1">
        <v>45776</v>
      </c>
      <c r="E411" s="1">
        <v>45776</v>
      </c>
      <c r="H411" t="s">
        <v>43</v>
      </c>
      <c r="I411" t="s">
        <v>1048</v>
      </c>
      <c r="J411" t="s">
        <v>1049</v>
      </c>
      <c r="K411" t="s">
        <v>1050</v>
      </c>
      <c r="L411" t="s">
        <v>22</v>
      </c>
      <c r="M411" s="3">
        <v>0</v>
      </c>
      <c r="N411" s="3">
        <v>2500</v>
      </c>
      <c r="P411" t="s">
        <v>23</v>
      </c>
    </row>
    <row r="412" spans="1:16">
      <c r="A412" t="s">
        <v>772</v>
      </c>
      <c r="B412" t="s">
        <v>773</v>
      </c>
      <c r="C412" s="2">
        <v>19895.419999999998</v>
      </c>
      <c r="D412" s="1">
        <v>45777</v>
      </c>
      <c r="E412" s="1">
        <v>45777</v>
      </c>
      <c r="H412" t="s">
        <v>43</v>
      </c>
      <c r="I412" t="s">
        <v>1024</v>
      </c>
      <c r="J412" t="s">
        <v>1025</v>
      </c>
      <c r="K412" t="s">
        <v>1051</v>
      </c>
      <c r="L412" t="s">
        <v>22</v>
      </c>
      <c r="M412" s="3">
        <v>0</v>
      </c>
      <c r="N412" s="3">
        <v>8500</v>
      </c>
      <c r="P412" t="s">
        <v>23</v>
      </c>
    </row>
    <row r="413" spans="1:16">
      <c r="A413" t="s">
        <v>772</v>
      </c>
      <c r="B413" t="s">
        <v>773</v>
      </c>
      <c r="C413" s="2">
        <v>19895.419999999998</v>
      </c>
      <c r="D413" s="1">
        <v>45777</v>
      </c>
      <c r="E413" s="1">
        <v>45777</v>
      </c>
      <c r="H413" t="s">
        <v>43</v>
      </c>
      <c r="I413" t="s">
        <v>1014</v>
      </c>
      <c r="J413" t="s">
        <v>1015</v>
      </c>
      <c r="K413" t="s">
        <v>1052</v>
      </c>
      <c r="L413" t="s">
        <v>22</v>
      </c>
      <c r="M413" s="3">
        <v>0</v>
      </c>
      <c r="N413" s="3">
        <v>1306.25</v>
      </c>
      <c r="P413" t="s">
        <v>23</v>
      </c>
    </row>
    <row r="414" spans="1:16">
      <c r="A414" t="s">
        <v>772</v>
      </c>
      <c r="B414" t="s">
        <v>773</v>
      </c>
      <c r="C414" s="2">
        <v>19895.419999999998</v>
      </c>
      <c r="D414" s="1">
        <v>45777</v>
      </c>
      <c r="E414" s="1">
        <v>45777</v>
      </c>
      <c r="H414" t="s">
        <v>43</v>
      </c>
      <c r="I414" t="s">
        <v>1053</v>
      </c>
      <c r="J414" t="s">
        <v>1054</v>
      </c>
      <c r="K414" t="s">
        <v>1055</v>
      </c>
      <c r="L414" t="s">
        <v>22</v>
      </c>
      <c r="M414" s="3">
        <v>0</v>
      </c>
      <c r="N414" s="3">
        <v>11519.26</v>
      </c>
      <c r="P414" t="s">
        <v>23</v>
      </c>
    </row>
    <row r="415" spans="1:16">
      <c r="A415" t="s">
        <v>772</v>
      </c>
      <c r="B415" t="s">
        <v>773</v>
      </c>
      <c r="C415" s="2">
        <v>19895.419999999998</v>
      </c>
      <c r="D415" s="1">
        <v>45792</v>
      </c>
      <c r="E415" s="1">
        <v>45792</v>
      </c>
      <c r="H415" t="s">
        <v>1056</v>
      </c>
      <c r="I415" t="s">
        <v>845</v>
      </c>
      <c r="J415" t="s">
        <v>846</v>
      </c>
      <c r="K415" t="s">
        <v>1057</v>
      </c>
      <c r="L415" t="s">
        <v>22</v>
      </c>
      <c r="M415" s="3">
        <v>0</v>
      </c>
      <c r="N415" s="3">
        <v>750</v>
      </c>
      <c r="P415" t="s">
        <v>23</v>
      </c>
    </row>
    <row r="416" spans="1:16">
      <c r="A416" t="s">
        <v>772</v>
      </c>
      <c r="B416" t="s">
        <v>773</v>
      </c>
      <c r="C416" s="2">
        <v>19895.419999999998</v>
      </c>
      <c r="D416" s="1">
        <v>45792</v>
      </c>
      <c r="E416" s="1">
        <v>45792</v>
      </c>
      <c r="H416" t="s">
        <v>1058</v>
      </c>
      <c r="I416" t="s">
        <v>1059</v>
      </c>
      <c r="J416" t="s">
        <v>1058</v>
      </c>
      <c r="K416" t="s">
        <v>1060</v>
      </c>
      <c r="L416" t="s">
        <v>22</v>
      </c>
      <c r="M416" s="3">
        <v>0</v>
      </c>
      <c r="N416" s="3">
        <v>3000</v>
      </c>
      <c r="P416" t="s">
        <v>23</v>
      </c>
    </row>
    <row r="417" spans="1:16">
      <c r="A417" t="s">
        <v>772</v>
      </c>
      <c r="B417" t="s">
        <v>773</v>
      </c>
      <c r="C417" s="2">
        <v>19895.419999999998</v>
      </c>
      <c r="D417" s="1">
        <v>45804</v>
      </c>
      <c r="E417" s="1">
        <v>45804</v>
      </c>
      <c r="H417" t="s">
        <v>1004</v>
      </c>
      <c r="I417" t="s">
        <v>1005</v>
      </c>
      <c r="J417" t="s">
        <v>1006</v>
      </c>
      <c r="K417" t="s">
        <v>1061</v>
      </c>
      <c r="L417" t="s">
        <v>22</v>
      </c>
      <c r="M417" s="3">
        <v>0</v>
      </c>
      <c r="N417" s="3">
        <v>15000</v>
      </c>
      <c r="P417" t="s">
        <v>23</v>
      </c>
    </row>
    <row r="418" spans="1:16">
      <c r="A418" t="s">
        <v>772</v>
      </c>
      <c r="B418" t="s">
        <v>773</v>
      </c>
      <c r="C418" s="2">
        <v>19895.419999999998</v>
      </c>
      <c r="D418" s="1">
        <v>45806</v>
      </c>
      <c r="E418" s="1">
        <v>45806</v>
      </c>
      <c r="H418" t="s">
        <v>1013</v>
      </c>
      <c r="I418" t="s">
        <v>1014</v>
      </c>
      <c r="J418" t="s">
        <v>1015</v>
      </c>
      <c r="K418" t="s">
        <v>1062</v>
      </c>
      <c r="L418" t="s">
        <v>22</v>
      </c>
      <c r="M418" s="3">
        <v>0</v>
      </c>
      <c r="N418" s="3">
        <v>3437.5</v>
      </c>
      <c r="P418" t="s">
        <v>23</v>
      </c>
    </row>
    <row r="419" spans="1:16">
      <c r="A419" t="s">
        <v>772</v>
      </c>
      <c r="B419" t="s">
        <v>773</v>
      </c>
      <c r="C419" s="2">
        <v>19895.419999999998</v>
      </c>
      <c r="D419" s="1">
        <v>45806</v>
      </c>
      <c r="E419" s="1">
        <v>45806</v>
      </c>
      <c r="H419" t="s">
        <v>1063</v>
      </c>
      <c r="I419" t="s">
        <v>1024</v>
      </c>
      <c r="J419" t="s">
        <v>1025</v>
      </c>
      <c r="K419" t="s">
        <v>1064</v>
      </c>
      <c r="L419" t="s">
        <v>22</v>
      </c>
      <c r="M419" s="3">
        <v>0</v>
      </c>
      <c r="N419" s="3">
        <v>10500</v>
      </c>
      <c r="P419" t="s">
        <v>23</v>
      </c>
    </row>
    <row r="420" spans="1:16">
      <c r="A420" t="s">
        <v>772</v>
      </c>
      <c r="B420" t="s">
        <v>773</v>
      </c>
      <c r="C420" s="2">
        <v>19895.419999999998</v>
      </c>
      <c r="D420" s="1">
        <v>45819</v>
      </c>
      <c r="E420" s="1">
        <v>45819</v>
      </c>
      <c r="H420" t="s">
        <v>1065</v>
      </c>
      <c r="I420" t="s">
        <v>1066</v>
      </c>
      <c r="J420" t="s">
        <v>1067</v>
      </c>
      <c r="K420" t="s">
        <v>1068</v>
      </c>
      <c r="L420" t="s">
        <v>22</v>
      </c>
      <c r="M420" s="3">
        <v>0</v>
      </c>
      <c r="N420" s="3">
        <v>15600</v>
      </c>
      <c r="P420" t="s">
        <v>23</v>
      </c>
    </row>
    <row r="421" spans="1:16">
      <c r="A421" t="s">
        <v>772</v>
      </c>
      <c r="B421" t="s">
        <v>773</v>
      </c>
      <c r="C421" s="2">
        <v>19895.419999999998</v>
      </c>
      <c r="D421" s="1">
        <v>45826</v>
      </c>
      <c r="E421" s="1">
        <v>45826</v>
      </c>
      <c r="H421" t="s">
        <v>1054</v>
      </c>
      <c r="I421" t="s">
        <v>1053</v>
      </c>
      <c r="J421" t="s">
        <v>1054</v>
      </c>
      <c r="K421" t="s">
        <v>1069</v>
      </c>
      <c r="L421" t="s">
        <v>22</v>
      </c>
      <c r="M421" s="3">
        <v>0</v>
      </c>
      <c r="N421" s="3">
        <v>377.14</v>
      </c>
      <c r="P421" t="s">
        <v>23</v>
      </c>
    </row>
    <row r="422" spans="1:16">
      <c r="A422" t="s">
        <v>772</v>
      </c>
      <c r="B422" t="s">
        <v>773</v>
      </c>
      <c r="C422" s="2">
        <v>19895.419999999998</v>
      </c>
      <c r="D422" s="1">
        <v>45833</v>
      </c>
      <c r="E422" s="1">
        <v>45833</v>
      </c>
      <c r="H422" t="s">
        <v>1004</v>
      </c>
      <c r="I422" t="s">
        <v>1029</v>
      </c>
      <c r="J422" t="s">
        <v>1030</v>
      </c>
      <c r="K422" t="s">
        <v>1070</v>
      </c>
      <c r="L422" t="s">
        <v>22</v>
      </c>
      <c r="M422" s="3">
        <v>0</v>
      </c>
      <c r="N422" s="3">
        <v>15000</v>
      </c>
      <c r="P422" t="s">
        <v>23</v>
      </c>
    </row>
    <row r="423" spans="1:16">
      <c r="A423" t="s">
        <v>772</v>
      </c>
      <c r="B423" t="s">
        <v>773</v>
      </c>
      <c r="C423" s="2">
        <v>19895.419999999998</v>
      </c>
      <c r="D423" s="1">
        <v>45833</v>
      </c>
      <c r="E423" s="1">
        <v>45833</v>
      </c>
      <c r="H423" t="s">
        <v>1004</v>
      </c>
      <c r="I423" t="s">
        <v>1029</v>
      </c>
      <c r="J423" t="s">
        <v>1030</v>
      </c>
      <c r="K423" t="s">
        <v>1071</v>
      </c>
      <c r="L423" t="s">
        <v>22</v>
      </c>
      <c r="M423" s="3">
        <v>0</v>
      </c>
      <c r="N423" s="3">
        <v>15000</v>
      </c>
      <c r="P423" t="s">
        <v>23</v>
      </c>
    </row>
    <row r="424" spans="1:16">
      <c r="A424" t="s">
        <v>1072</v>
      </c>
      <c r="B424" t="s">
        <v>1073</v>
      </c>
      <c r="C424" s="2">
        <v>234.89</v>
      </c>
      <c r="D424" s="1">
        <v>45747</v>
      </c>
      <c r="E424" s="1">
        <v>45747</v>
      </c>
      <c r="H424" t="s">
        <v>403</v>
      </c>
      <c r="I424" t="s">
        <v>404</v>
      </c>
      <c r="J424" t="s">
        <v>403</v>
      </c>
      <c r="K424" t="s">
        <v>1074</v>
      </c>
      <c r="L424" t="s">
        <v>406</v>
      </c>
      <c r="M424" s="3">
        <v>6.34</v>
      </c>
      <c r="N424" s="3">
        <v>0</v>
      </c>
      <c r="P424" t="s">
        <v>23</v>
      </c>
    </row>
    <row r="425" spans="1:16">
      <c r="A425" t="s">
        <v>1075</v>
      </c>
      <c r="B425" t="s">
        <v>1076</v>
      </c>
      <c r="C425" s="2">
        <v>0</v>
      </c>
      <c r="D425" s="1">
        <v>45754</v>
      </c>
      <c r="E425" s="1">
        <v>45754</v>
      </c>
      <c r="F425" t="s">
        <v>1077</v>
      </c>
      <c r="H425" t="s">
        <v>586</v>
      </c>
      <c r="I425" t="s">
        <v>1078</v>
      </c>
      <c r="J425" t="s">
        <v>1079</v>
      </c>
      <c r="K425" t="s">
        <v>1080</v>
      </c>
      <c r="L425" t="s">
        <v>144</v>
      </c>
      <c r="M425" s="3">
        <v>2010</v>
      </c>
      <c r="N425" s="3">
        <v>0</v>
      </c>
      <c r="P425" t="s">
        <v>23</v>
      </c>
    </row>
    <row r="426" spans="1:16">
      <c r="A426" t="s">
        <v>1075</v>
      </c>
      <c r="B426" t="s">
        <v>1076</v>
      </c>
      <c r="C426" s="2">
        <v>0</v>
      </c>
      <c r="D426" s="1">
        <v>45771</v>
      </c>
      <c r="E426" s="1">
        <v>45771</v>
      </c>
      <c r="F426" t="s">
        <v>1081</v>
      </c>
      <c r="H426" t="s">
        <v>586</v>
      </c>
      <c r="I426" t="s">
        <v>1078</v>
      </c>
      <c r="J426" t="s">
        <v>1079</v>
      </c>
      <c r="K426" t="s">
        <v>1082</v>
      </c>
      <c r="L426" t="s">
        <v>144</v>
      </c>
      <c r="M426" s="3">
        <v>2125</v>
      </c>
      <c r="N426" s="3">
        <v>0</v>
      </c>
      <c r="P426" t="s">
        <v>23</v>
      </c>
    </row>
    <row r="427" spans="1:16">
      <c r="A427" t="s">
        <v>1075</v>
      </c>
      <c r="B427" t="s">
        <v>1076</v>
      </c>
      <c r="C427" s="2">
        <v>0</v>
      </c>
      <c r="D427" s="1">
        <v>45777</v>
      </c>
      <c r="E427" s="1">
        <v>45777</v>
      </c>
      <c r="H427" t="s">
        <v>1083</v>
      </c>
      <c r="I427" t="s">
        <v>197</v>
      </c>
      <c r="J427" t="s">
        <v>198</v>
      </c>
      <c r="K427" t="s">
        <v>1084</v>
      </c>
      <c r="L427" t="s">
        <v>41</v>
      </c>
      <c r="M427" s="3">
        <v>0</v>
      </c>
      <c r="N427" s="3">
        <v>223.89</v>
      </c>
      <c r="P42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B9E9-96B3-437B-BF86-4576E3586E8F}">
  <sheetPr filterMode="1"/>
  <dimension ref="A1:P43"/>
  <sheetViews>
    <sheetView workbookViewId="0">
      <selection activeCell="N10" activeCellId="1" sqref="N3:N6 N10:N40"/>
    </sheetView>
  </sheetViews>
  <sheetFormatPr defaultRowHeight="15"/>
  <cols>
    <col min="1" max="1" width="7.85546875" bestFit="1" customWidth="1"/>
    <col min="2" max="2" width="26.42578125" bestFit="1" customWidth="1"/>
    <col min="3" max="3" width="11.140625" style="3" bestFit="1" customWidth="1"/>
    <col min="4" max="4" width="10.7109375" bestFit="1" customWidth="1"/>
    <col min="5" max="5" width="10.140625" bestFit="1" customWidth="1"/>
    <col min="6" max="6" width="11.140625" bestFit="1" customWidth="1"/>
    <col min="7" max="7" width="9.140625" bestFit="1" customWidth="1"/>
    <col min="8" max="8" width="22.140625" bestFit="1" customWidth="1"/>
    <col min="9" max="9" width="9.140625" bestFit="1" customWidth="1"/>
    <col min="10" max="10" width="35.85546875" bestFit="1" customWidth="1"/>
    <col min="11" max="11" width="13.5703125" bestFit="1" customWidth="1"/>
    <col min="13" max="14" width="11.140625" style="3" bestFit="1" customWidth="1"/>
    <col min="16" max="16" width="4.42578125" bestFit="1" customWidth="1"/>
  </cols>
  <sheetData>
    <row r="1" spans="1:16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P1" t="s">
        <v>14</v>
      </c>
    </row>
    <row r="2" spans="1:16" hidden="1">
      <c r="A2" t="s">
        <v>15</v>
      </c>
      <c r="B2" t="s">
        <v>16</v>
      </c>
      <c r="C2" s="3">
        <v>93621.21</v>
      </c>
      <c r="D2" s="1">
        <v>45839</v>
      </c>
      <c r="E2" s="1">
        <v>45839</v>
      </c>
      <c r="F2" t="s">
        <v>1085</v>
      </c>
      <c r="H2" t="s">
        <v>1086</v>
      </c>
      <c r="I2" t="s">
        <v>34</v>
      </c>
      <c r="J2" t="s">
        <v>35</v>
      </c>
      <c r="K2" t="s">
        <v>1087</v>
      </c>
      <c r="L2" t="s">
        <v>22</v>
      </c>
      <c r="M2" s="3">
        <v>0</v>
      </c>
      <c r="N2" s="3">
        <v>63408.72</v>
      </c>
      <c r="O2" t="s">
        <v>1088</v>
      </c>
      <c r="P2" t="s">
        <v>23</v>
      </c>
    </row>
    <row r="3" spans="1:16">
      <c r="A3" t="s">
        <v>15</v>
      </c>
      <c r="B3" t="s">
        <v>16</v>
      </c>
      <c r="C3" s="3">
        <v>93621.21</v>
      </c>
      <c r="D3" s="1">
        <v>45839</v>
      </c>
      <c r="E3" s="1">
        <v>45839</v>
      </c>
      <c r="F3" t="s">
        <v>1089</v>
      </c>
      <c r="H3" t="s">
        <v>43</v>
      </c>
      <c r="I3" t="s">
        <v>1090</v>
      </c>
      <c r="J3" t="s">
        <v>1091</v>
      </c>
      <c r="K3" t="s">
        <v>1092</v>
      </c>
      <c r="L3" t="s">
        <v>47</v>
      </c>
      <c r="M3" s="3">
        <v>0</v>
      </c>
      <c r="N3" s="3">
        <v>383.25</v>
      </c>
      <c r="O3" t="s">
        <v>1093</v>
      </c>
      <c r="P3" t="s">
        <v>23</v>
      </c>
    </row>
    <row r="4" spans="1:16">
      <c r="A4" t="s">
        <v>15</v>
      </c>
      <c r="B4" t="s">
        <v>16</v>
      </c>
      <c r="C4" s="3">
        <v>93621.21</v>
      </c>
      <c r="D4" s="1">
        <v>45840</v>
      </c>
      <c r="E4" s="1">
        <v>45840</v>
      </c>
      <c r="F4" t="s">
        <v>24</v>
      </c>
      <c r="H4" t="s">
        <v>18</v>
      </c>
      <c r="I4" t="s">
        <v>25</v>
      </c>
      <c r="J4" t="s">
        <v>26</v>
      </c>
      <c r="K4" t="s">
        <v>1094</v>
      </c>
      <c r="L4" t="s">
        <v>22</v>
      </c>
      <c r="M4" s="3">
        <v>0</v>
      </c>
      <c r="N4" s="3">
        <v>1041.9100000000001</v>
      </c>
      <c r="O4" t="s">
        <v>1093</v>
      </c>
      <c r="P4" t="s">
        <v>23</v>
      </c>
    </row>
    <row r="5" spans="1:16">
      <c r="A5" t="s">
        <v>15</v>
      </c>
      <c r="B5" t="s">
        <v>16</v>
      </c>
      <c r="C5" s="3">
        <v>93621.21</v>
      </c>
      <c r="D5" s="1">
        <v>45840</v>
      </c>
      <c r="E5" s="1">
        <v>45840</v>
      </c>
      <c r="F5" t="s">
        <v>28</v>
      </c>
      <c r="H5" t="s">
        <v>18</v>
      </c>
      <c r="I5" t="s">
        <v>29</v>
      </c>
      <c r="J5" t="s">
        <v>30</v>
      </c>
      <c r="K5" t="s">
        <v>1095</v>
      </c>
      <c r="L5" t="s">
        <v>22</v>
      </c>
      <c r="M5" s="3">
        <v>0</v>
      </c>
      <c r="N5" s="3">
        <v>6170.8</v>
      </c>
      <c r="O5" t="s">
        <v>1093</v>
      </c>
      <c r="P5" t="s">
        <v>23</v>
      </c>
    </row>
    <row r="6" spans="1:16">
      <c r="A6" t="s">
        <v>15</v>
      </c>
      <c r="B6" t="s">
        <v>16</v>
      </c>
      <c r="C6" s="3">
        <v>93621.21</v>
      </c>
      <c r="D6" s="1">
        <v>45841</v>
      </c>
      <c r="E6" s="1">
        <v>45841</v>
      </c>
      <c r="F6" t="s">
        <v>1096</v>
      </c>
      <c r="H6" t="s">
        <v>43</v>
      </c>
      <c r="I6" t="s">
        <v>1097</v>
      </c>
      <c r="J6" t="s">
        <v>1098</v>
      </c>
      <c r="K6" t="s">
        <v>1099</v>
      </c>
      <c r="L6" t="s">
        <v>47</v>
      </c>
      <c r="M6" s="3">
        <v>0</v>
      </c>
      <c r="N6" s="3">
        <v>3095.53</v>
      </c>
      <c r="O6" t="s">
        <v>1093</v>
      </c>
      <c r="P6" t="s">
        <v>23</v>
      </c>
    </row>
    <row r="7" spans="1:16" hidden="1">
      <c r="A7" t="s">
        <v>15</v>
      </c>
      <c r="B7" t="s">
        <v>16</v>
      </c>
      <c r="C7" s="3">
        <v>93621.21</v>
      </c>
      <c r="D7" s="1">
        <v>45841</v>
      </c>
      <c r="E7" s="1">
        <v>45841</v>
      </c>
      <c r="F7" t="s">
        <v>1100</v>
      </c>
      <c r="H7" t="s">
        <v>1101</v>
      </c>
      <c r="I7" t="s">
        <v>54</v>
      </c>
      <c r="J7" t="s">
        <v>55</v>
      </c>
      <c r="K7" t="s">
        <v>1102</v>
      </c>
      <c r="L7" t="s">
        <v>22</v>
      </c>
      <c r="M7" s="3">
        <v>0</v>
      </c>
      <c r="N7" s="3">
        <v>1.92</v>
      </c>
      <c r="P7" t="s">
        <v>23</v>
      </c>
    </row>
    <row r="8" spans="1:16" hidden="1">
      <c r="A8" t="s">
        <v>15</v>
      </c>
      <c r="B8" t="s">
        <v>16</v>
      </c>
      <c r="C8" s="3">
        <v>93621.21</v>
      </c>
      <c r="D8" s="1">
        <v>45844</v>
      </c>
      <c r="E8" s="1">
        <v>45844</v>
      </c>
      <c r="F8" t="s">
        <v>62</v>
      </c>
      <c r="H8" t="s">
        <v>1103</v>
      </c>
      <c r="I8" t="s">
        <v>64</v>
      </c>
      <c r="J8" t="s">
        <v>65</v>
      </c>
      <c r="K8" t="s">
        <v>1104</v>
      </c>
      <c r="L8" t="s">
        <v>22</v>
      </c>
      <c r="M8" s="3">
        <v>0</v>
      </c>
      <c r="N8" s="3">
        <v>22877.56</v>
      </c>
      <c r="O8" t="s">
        <v>1088</v>
      </c>
      <c r="P8" t="s">
        <v>23</v>
      </c>
    </row>
    <row r="9" spans="1:16">
      <c r="A9" t="s">
        <v>15</v>
      </c>
      <c r="B9" t="s">
        <v>16</v>
      </c>
      <c r="C9" s="3">
        <v>93621.21</v>
      </c>
      <c r="D9" s="1">
        <v>45848</v>
      </c>
      <c r="E9" s="1">
        <v>45848</v>
      </c>
      <c r="F9" t="s">
        <v>57</v>
      </c>
      <c r="H9" t="s">
        <v>1105</v>
      </c>
      <c r="I9" t="s">
        <v>59</v>
      </c>
      <c r="J9" t="s">
        <v>60</v>
      </c>
      <c r="K9" t="s">
        <v>1106</v>
      </c>
      <c r="L9" t="s">
        <v>22</v>
      </c>
      <c r="M9" s="3">
        <v>22441.13</v>
      </c>
      <c r="N9" s="3">
        <f>-M9</f>
        <v>-22441.13</v>
      </c>
      <c r="O9" t="s">
        <v>1093</v>
      </c>
      <c r="P9" t="s">
        <v>23</v>
      </c>
    </row>
    <row r="10" spans="1:16">
      <c r="A10" t="s">
        <v>15</v>
      </c>
      <c r="B10" t="s">
        <v>16</v>
      </c>
      <c r="C10" s="3">
        <v>93621.21</v>
      </c>
      <c r="D10" s="1">
        <v>45852</v>
      </c>
      <c r="E10" s="1">
        <v>45852</v>
      </c>
      <c r="F10" t="s">
        <v>1107</v>
      </c>
      <c r="H10" t="s">
        <v>1108</v>
      </c>
      <c r="I10" t="s">
        <v>74</v>
      </c>
      <c r="J10" t="s">
        <v>75</v>
      </c>
      <c r="K10" t="s">
        <v>1109</v>
      </c>
      <c r="L10" t="s">
        <v>47</v>
      </c>
      <c r="M10" s="3">
        <v>0</v>
      </c>
      <c r="N10" s="3">
        <v>125.96</v>
      </c>
      <c r="O10" t="s">
        <v>1093</v>
      </c>
      <c r="P10" t="s">
        <v>23</v>
      </c>
    </row>
    <row r="11" spans="1:16">
      <c r="A11" t="s">
        <v>15</v>
      </c>
      <c r="B11" t="s">
        <v>16</v>
      </c>
      <c r="C11" s="3">
        <v>93621.21</v>
      </c>
      <c r="D11" s="1">
        <v>45853</v>
      </c>
      <c r="E11" s="1">
        <v>45853</v>
      </c>
      <c r="F11" t="s">
        <v>1110</v>
      </c>
      <c r="H11" t="s">
        <v>1111</v>
      </c>
      <c r="I11" t="s">
        <v>102</v>
      </c>
      <c r="J11" t="s">
        <v>103</v>
      </c>
      <c r="K11" t="s">
        <v>1112</v>
      </c>
      <c r="L11" t="s">
        <v>47</v>
      </c>
      <c r="M11" s="3">
        <v>0</v>
      </c>
      <c r="N11" s="3">
        <v>4003.59</v>
      </c>
      <c r="O11" t="s">
        <v>1093</v>
      </c>
      <c r="P11" t="s">
        <v>23</v>
      </c>
    </row>
    <row r="12" spans="1:16" hidden="1">
      <c r="A12" t="s">
        <v>15</v>
      </c>
      <c r="B12" t="s">
        <v>16</v>
      </c>
      <c r="C12" s="3">
        <v>93621.21</v>
      </c>
      <c r="D12" s="1">
        <v>45853</v>
      </c>
      <c r="E12" s="1">
        <v>45853</v>
      </c>
      <c r="F12" t="s">
        <v>126</v>
      </c>
      <c r="H12" t="s">
        <v>1113</v>
      </c>
      <c r="I12" t="s">
        <v>128</v>
      </c>
      <c r="J12" t="s">
        <v>129</v>
      </c>
      <c r="K12" t="s">
        <v>1114</v>
      </c>
      <c r="L12" t="s">
        <v>22</v>
      </c>
      <c r="M12" s="3">
        <v>0</v>
      </c>
      <c r="N12" s="3">
        <v>1432.29</v>
      </c>
      <c r="O12" t="s">
        <v>1088</v>
      </c>
      <c r="P12" t="s">
        <v>23</v>
      </c>
    </row>
    <row r="13" spans="1:16">
      <c r="A13" t="s">
        <v>15</v>
      </c>
      <c r="B13" t="s">
        <v>16</v>
      </c>
      <c r="C13" s="3">
        <v>93621.21</v>
      </c>
      <c r="D13" s="1">
        <v>45854</v>
      </c>
      <c r="E13" s="1">
        <v>45854</v>
      </c>
      <c r="F13" t="s">
        <v>1115</v>
      </c>
      <c r="H13" t="s">
        <v>43</v>
      </c>
      <c r="I13" t="s">
        <v>1116</v>
      </c>
      <c r="J13" t="s">
        <v>1117</v>
      </c>
      <c r="K13" t="s">
        <v>1118</v>
      </c>
      <c r="L13" t="s">
        <v>47</v>
      </c>
      <c r="M13" s="3">
        <v>0</v>
      </c>
      <c r="N13" s="3">
        <v>4762.33</v>
      </c>
      <c r="O13" t="s">
        <v>1093</v>
      </c>
      <c r="P13" t="s">
        <v>23</v>
      </c>
    </row>
    <row r="14" spans="1:16">
      <c r="A14" t="s">
        <v>15</v>
      </c>
      <c r="B14" t="s">
        <v>16</v>
      </c>
      <c r="C14" s="3">
        <v>93621.21</v>
      </c>
      <c r="D14" s="1">
        <v>45854</v>
      </c>
      <c r="E14" s="1">
        <v>45854</v>
      </c>
      <c r="F14" t="s">
        <v>1119</v>
      </c>
      <c r="H14" t="s">
        <v>43</v>
      </c>
      <c r="I14" t="s">
        <v>253</v>
      </c>
      <c r="J14" t="s">
        <v>254</v>
      </c>
      <c r="K14" t="s">
        <v>1120</v>
      </c>
      <c r="L14" t="s">
        <v>47</v>
      </c>
      <c r="M14" s="3">
        <v>0</v>
      </c>
      <c r="N14" s="3">
        <v>3576.98</v>
      </c>
      <c r="O14" t="s">
        <v>1093</v>
      </c>
      <c r="P14" t="s">
        <v>23</v>
      </c>
    </row>
    <row r="15" spans="1:16">
      <c r="A15" t="s">
        <v>15</v>
      </c>
      <c r="B15" t="s">
        <v>16</v>
      </c>
      <c r="C15" s="3">
        <v>93621.21</v>
      </c>
      <c r="D15" s="1">
        <v>45854</v>
      </c>
      <c r="E15" s="1">
        <v>45854</v>
      </c>
      <c r="F15" t="s">
        <v>1121</v>
      </c>
      <c r="H15" t="s">
        <v>43</v>
      </c>
      <c r="I15" t="s">
        <v>253</v>
      </c>
      <c r="J15" t="s">
        <v>254</v>
      </c>
      <c r="K15" t="s">
        <v>1122</v>
      </c>
      <c r="L15" t="s">
        <v>47</v>
      </c>
      <c r="M15" s="3">
        <v>0</v>
      </c>
      <c r="N15" s="3">
        <v>2369.6</v>
      </c>
      <c r="O15" t="s">
        <v>1093</v>
      </c>
      <c r="P15" t="s">
        <v>23</v>
      </c>
    </row>
    <row r="16" spans="1:16">
      <c r="A16" t="s">
        <v>15</v>
      </c>
      <c r="B16" t="s">
        <v>16</v>
      </c>
      <c r="C16" s="3">
        <v>93621.21</v>
      </c>
      <c r="D16" s="1">
        <v>45854</v>
      </c>
      <c r="E16" s="1">
        <v>45854</v>
      </c>
      <c r="F16" t="s">
        <v>1123</v>
      </c>
      <c r="H16" t="s">
        <v>43</v>
      </c>
      <c r="I16" t="s">
        <v>184</v>
      </c>
      <c r="J16" t="s">
        <v>185</v>
      </c>
      <c r="K16" t="s">
        <v>1124</v>
      </c>
      <c r="L16" t="s">
        <v>47</v>
      </c>
      <c r="M16" s="3">
        <v>0</v>
      </c>
      <c r="N16" s="3">
        <v>1714.79</v>
      </c>
      <c r="O16" t="s">
        <v>1093</v>
      </c>
      <c r="P16" t="s">
        <v>23</v>
      </c>
    </row>
    <row r="17" spans="1:16">
      <c r="A17" t="s">
        <v>15</v>
      </c>
      <c r="B17" t="s">
        <v>16</v>
      </c>
      <c r="C17" s="3">
        <v>93621.21</v>
      </c>
      <c r="D17" s="1">
        <v>45854</v>
      </c>
      <c r="E17" s="1">
        <v>45854</v>
      </c>
      <c r="F17" t="s">
        <v>1125</v>
      </c>
      <c r="H17" t="s">
        <v>43</v>
      </c>
      <c r="I17" t="s">
        <v>605</v>
      </c>
      <c r="J17" t="s">
        <v>606</v>
      </c>
      <c r="K17" t="s">
        <v>1126</v>
      </c>
      <c r="L17" t="s">
        <v>47</v>
      </c>
      <c r="M17" s="3">
        <v>0</v>
      </c>
      <c r="N17" s="3">
        <v>1196.58</v>
      </c>
      <c r="O17" t="s">
        <v>1093</v>
      </c>
      <c r="P17" t="s">
        <v>23</v>
      </c>
    </row>
    <row r="18" spans="1:16">
      <c r="A18" t="s">
        <v>15</v>
      </c>
      <c r="B18" t="s">
        <v>16</v>
      </c>
      <c r="C18" s="3">
        <v>93621.21</v>
      </c>
      <c r="D18" s="1">
        <v>45854</v>
      </c>
      <c r="E18" s="1">
        <v>45854</v>
      </c>
      <c r="F18" t="s">
        <v>1127</v>
      </c>
      <c r="H18" t="s">
        <v>43</v>
      </c>
      <c r="I18" t="s">
        <v>1128</v>
      </c>
      <c r="J18" t="s">
        <v>1129</v>
      </c>
      <c r="K18" t="s">
        <v>1130</v>
      </c>
      <c r="L18" t="s">
        <v>47</v>
      </c>
      <c r="M18" s="3">
        <v>0</v>
      </c>
      <c r="N18" s="3">
        <v>881.91</v>
      </c>
      <c r="O18" t="s">
        <v>1093</v>
      </c>
      <c r="P18" t="s">
        <v>23</v>
      </c>
    </row>
    <row r="19" spans="1:16">
      <c r="A19" t="s">
        <v>15</v>
      </c>
      <c r="B19" t="s">
        <v>16</v>
      </c>
      <c r="C19" s="3">
        <v>93621.21</v>
      </c>
      <c r="D19" s="1">
        <v>45854</v>
      </c>
      <c r="E19" s="1">
        <v>45854</v>
      </c>
      <c r="F19" t="s">
        <v>1131</v>
      </c>
      <c r="H19" t="s">
        <v>43</v>
      </c>
      <c r="I19" t="s">
        <v>1132</v>
      </c>
      <c r="J19" t="s">
        <v>1133</v>
      </c>
      <c r="K19" t="s">
        <v>1134</v>
      </c>
      <c r="L19" t="s">
        <v>47</v>
      </c>
      <c r="M19" s="3">
        <v>0</v>
      </c>
      <c r="N19" s="3">
        <v>723.17</v>
      </c>
      <c r="O19" t="s">
        <v>1093</v>
      </c>
      <c r="P19" t="s">
        <v>23</v>
      </c>
    </row>
    <row r="20" spans="1:16">
      <c r="A20" t="s">
        <v>15</v>
      </c>
      <c r="B20" t="s">
        <v>16</v>
      </c>
      <c r="C20" s="3">
        <v>93621.21</v>
      </c>
      <c r="D20" s="1">
        <v>45854</v>
      </c>
      <c r="E20" s="1">
        <v>45854</v>
      </c>
      <c r="F20" t="s">
        <v>1135</v>
      </c>
      <c r="H20" t="s">
        <v>43</v>
      </c>
      <c r="I20" t="s">
        <v>158</v>
      </c>
      <c r="J20" t="s">
        <v>159</v>
      </c>
      <c r="K20" t="s">
        <v>1136</v>
      </c>
      <c r="L20" t="s">
        <v>47</v>
      </c>
      <c r="M20" s="3">
        <v>0</v>
      </c>
      <c r="N20" s="3">
        <v>711.21</v>
      </c>
      <c r="O20" t="s">
        <v>1093</v>
      </c>
      <c r="P20" t="s">
        <v>23</v>
      </c>
    </row>
    <row r="21" spans="1:16">
      <c r="A21" t="s">
        <v>15</v>
      </c>
      <c r="B21" t="s">
        <v>16</v>
      </c>
      <c r="C21" s="3">
        <v>93621.21</v>
      </c>
      <c r="D21" s="1">
        <v>45854</v>
      </c>
      <c r="E21" s="1">
        <v>45854</v>
      </c>
      <c r="F21" t="s">
        <v>1137</v>
      </c>
      <c r="H21" t="s">
        <v>43</v>
      </c>
      <c r="I21" t="s">
        <v>79</v>
      </c>
      <c r="J21" t="s">
        <v>80</v>
      </c>
      <c r="K21" t="s">
        <v>1138</v>
      </c>
      <c r="L21" t="s">
        <v>47</v>
      </c>
      <c r="M21" s="3">
        <v>0</v>
      </c>
      <c r="N21" s="3">
        <v>176.38</v>
      </c>
      <c r="O21" t="s">
        <v>1093</v>
      </c>
      <c r="P21" t="s">
        <v>23</v>
      </c>
    </row>
    <row r="22" spans="1:16">
      <c r="A22" t="s">
        <v>15</v>
      </c>
      <c r="B22" t="s">
        <v>16</v>
      </c>
      <c r="C22" s="3">
        <v>93621.21</v>
      </c>
      <c r="D22" s="1">
        <v>45854</v>
      </c>
      <c r="E22" s="1">
        <v>45854</v>
      </c>
      <c r="F22" t="s">
        <v>1139</v>
      </c>
      <c r="H22" t="s">
        <v>43</v>
      </c>
      <c r="I22" t="s">
        <v>150</v>
      </c>
      <c r="J22" t="s">
        <v>151</v>
      </c>
      <c r="K22" t="s">
        <v>1140</v>
      </c>
      <c r="L22" t="s">
        <v>47</v>
      </c>
      <c r="M22" s="3">
        <v>0</v>
      </c>
      <c r="N22" s="3">
        <v>169.22</v>
      </c>
      <c r="O22" t="s">
        <v>1093</v>
      </c>
      <c r="P22" t="s">
        <v>23</v>
      </c>
    </row>
    <row r="23" spans="1:16">
      <c r="A23" t="s">
        <v>15</v>
      </c>
      <c r="B23" t="s">
        <v>16</v>
      </c>
      <c r="C23" s="3">
        <v>93621.21</v>
      </c>
      <c r="D23" s="1">
        <v>45854</v>
      </c>
      <c r="E23" s="1">
        <v>45854</v>
      </c>
      <c r="F23" t="s">
        <v>1141</v>
      </c>
      <c r="H23" t="s">
        <v>43</v>
      </c>
      <c r="I23" t="s">
        <v>1142</v>
      </c>
      <c r="J23" t="s">
        <v>1143</v>
      </c>
      <c r="K23" t="s">
        <v>1144</v>
      </c>
      <c r="L23" t="s">
        <v>47</v>
      </c>
      <c r="M23" s="3">
        <v>0</v>
      </c>
      <c r="N23" s="3">
        <v>125.58</v>
      </c>
      <c r="O23" t="s">
        <v>1093</v>
      </c>
      <c r="P23" t="s">
        <v>23</v>
      </c>
    </row>
    <row r="24" spans="1:16">
      <c r="A24" t="s">
        <v>15</v>
      </c>
      <c r="B24" t="s">
        <v>16</v>
      </c>
      <c r="C24" s="3">
        <v>93621.21</v>
      </c>
      <c r="D24" s="1">
        <v>45858</v>
      </c>
      <c r="E24" s="1">
        <v>45858</v>
      </c>
      <c r="F24" t="s">
        <v>1145</v>
      </c>
      <c r="H24" t="s">
        <v>1108</v>
      </c>
      <c r="I24" t="s">
        <v>74</v>
      </c>
      <c r="J24" t="s">
        <v>75</v>
      </c>
      <c r="K24" t="s">
        <v>1146</v>
      </c>
      <c r="L24" t="s">
        <v>47</v>
      </c>
      <c r="M24" s="3">
        <v>0</v>
      </c>
      <c r="N24" s="3">
        <v>0.06</v>
      </c>
      <c r="O24" t="s">
        <v>1093</v>
      </c>
      <c r="P24" t="s">
        <v>23</v>
      </c>
    </row>
    <row r="25" spans="1:16" hidden="1">
      <c r="A25" t="s">
        <v>15</v>
      </c>
      <c r="B25" t="s">
        <v>16</v>
      </c>
      <c r="C25" s="3">
        <v>93621.21</v>
      </c>
      <c r="D25" s="1">
        <v>45858</v>
      </c>
      <c r="E25" s="1">
        <v>45858</v>
      </c>
      <c r="F25" t="s">
        <v>119</v>
      </c>
      <c r="H25" t="s">
        <v>120</v>
      </c>
      <c r="I25" t="s">
        <v>121</v>
      </c>
      <c r="J25" t="s">
        <v>122</v>
      </c>
      <c r="K25" t="s">
        <v>1147</v>
      </c>
      <c r="L25" t="s">
        <v>22</v>
      </c>
      <c r="M25" s="3">
        <v>0</v>
      </c>
      <c r="N25" s="3">
        <v>21077.5</v>
      </c>
      <c r="O25" t="s">
        <v>1088</v>
      </c>
      <c r="P25" t="s">
        <v>23</v>
      </c>
    </row>
    <row r="26" spans="1:16" hidden="1">
      <c r="A26" t="s">
        <v>15</v>
      </c>
      <c r="B26" t="s">
        <v>16</v>
      </c>
      <c r="C26" s="3">
        <v>93621.21</v>
      </c>
      <c r="D26" s="1">
        <v>45859</v>
      </c>
      <c r="E26" s="1">
        <v>45859</v>
      </c>
      <c r="F26" t="s">
        <v>1148</v>
      </c>
      <c r="H26" t="s">
        <v>1149</v>
      </c>
      <c r="I26" t="s">
        <v>1150</v>
      </c>
      <c r="J26" t="s">
        <v>1151</v>
      </c>
      <c r="K26" t="s">
        <v>1152</v>
      </c>
      <c r="L26" t="s">
        <v>22</v>
      </c>
      <c r="M26" s="3">
        <v>160095.38</v>
      </c>
      <c r="N26" s="3">
        <v>0</v>
      </c>
      <c r="P26" t="s">
        <v>23</v>
      </c>
    </row>
    <row r="27" spans="1:16" hidden="1">
      <c r="A27" t="s">
        <v>15</v>
      </c>
      <c r="B27" t="s">
        <v>16</v>
      </c>
      <c r="C27" s="3">
        <v>93621.21</v>
      </c>
      <c r="D27" s="1">
        <v>45860</v>
      </c>
      <c r="E27" s="1">
        <v>45860</v>
      </c>
      <c r="F27" t="s">
        <v>126</v>
      </c>
      <c r="H27" t="s">
        <v>127</v>
      </c>
      <c r="I27" t="s">
        <v>128</v>
      </c>
      <c r="J27" t="s">
        <v>129</v>
      </c>
      <c r="K27" t="s">
        <v>1153</v>
      </c>
      <c r="L27" t="s">
        <v>22</v>
      </c>
      <c r="M27" s="3">
        <v>0</v>
      </c>
      <c r="N27" s="3">
        <v>15240.01</v>
      </c>
      <c r="O27" t="s">
        <v>1088</v>
      </c>
      <c r="P27" t="s">
        <v>23</v>
      </c>
    </row>
    <row r="28" spans="1:16">
      <c r="A28" t="s">
        <v>193</v>
      </c>
      <c r="B28" t="s">
        <v>194</v>
      </c>
      <c r="C28" s="3">
        <v>266620</v>
      </c>
      <c r="D28" s="1">
        <v>45840</v>
      </c>
      <c r="E28" s="1">
        <v>45840</v>
      </c>
      <c r="F28" t="s">
        <v>28</v>
      </c>
      <c r="H28" t="s">
        <v>726</v>
      </c>
      <c r="I28" t="s">
        <v>727</v>
      </c>
      <c r="J28" t="s">
        <v>728</v>
      </c>
      <c r="K28" t="s">
        <v>1154</v>
      </c>
      <c r="L28" t="s">
        <v>41</v>
      </c>
      <c r="M28" s="3">
        <v>0</v>
      </c>
      <c r="N28" s="3">
        <v>1573.39</v>
      </c>
      <c r="O28" t="s">
        <v>1093</v>
      </c>
      <c r="P28" t="s">
        <v>23</v>
      </c>
    </row>
    <row r="29" spans="1:16">
      <c r="A29" t="s">
        <v>193</v>
      </c>
      <c r="B29" t="s">
        <v>194</v>
      </c>
      <c r="C29" s="3">
        <v>266620</v>
      </c>
      <c r="D29" s="1">
        <v>45854</v>
      </c>
      <c r="E29" s="1">
        <v>45854</v>
      </c>
      <c r="F29" t="s">
        <v>1155</v>
      </c>
      <c r="H29" t="s">
        <v>43</v>
      </c>
      <c r="I29" t="s">
        <v>757</v>
      </c>
      <c r="J29" t="s">
        <v>758</v>
      </c>
      <c r="K29" t="s">
        <v>1156</v>
      </c>
      <c r="L29" t="s">
        <v>47</v>
      </c>
      <c r="M29" s="3">
        <v>0</v>
      </c>
      <c r="N29" s="3">
        <v>1055</v>
      </c>
      <c r="O29" t="s">
        <v>1093</v>
      </c>
      <c r="P29" t="s">
        <v>23</v>
      </c>
    </row>
    <row r="30" spans="1:16">
      <c r="A30" t="s">
        <v>193</v>
      </c>
      <c r="B30" t="s">
        <v>194</v>
      </c>
      <c r="C30" s="3">
        <v>266620</v>
      </c>
      <c r="D30" s="1">
        <v>45854</v>
      </c>
      <c r="E30" s="1">
        <v>45854</v>
      </c>
      <c r="F30" t="s">
        <v>1157</v>
      </c>
      <c r="H30" t="s">
        <v>43</v>
      </c>
      <c r="I30" t="s">
        <v>1024</v>
      </c>
      <c r="J30" t="s">
        <v>1025</v>
      </c>
      <c r="K30" t="s">
        <v>1158</v>
      </c>
      <c r="L30" t="s">
        <v>47</v>
      </c>
      <c r="M30" s="3">
        <v>0</v>
      </c>
      <c r="N30" s="3">
        <v>1000</v>
      </c>
      <c r="O30" t="s">
        <v>1093</v>
      </c>
      <c r="P30" t="s">
        <v>23</v>
      </c>
    </row>
    <row r="31" spans="1:16" hidden="1">
      <c r="A31" t="s">
        <v>193</v>
      </c>
      <c r="B31" t="s">
        <v>194</v>
      </c>
      <c r="C31" s="3">
        <v>266620</v>
      </c>
      <c r="D31" s="1">
        <v>45859</v>
      </c>
      <c r="E31" s="1">
        <v>45859</v>
      </c>
      <c r="F31" t="s">
        <v>1159</v>
      </c>
      <c r="H31" t="s">
        <v>1160</v>
      </c>
      <c r="I31" t="s">
        <v>1150</v>
      </c>
      <c r="J31" t="s">
        <v>1151</v>
      </c>
      <c r="K31" t="s">
        <v>1161</v>
      </c>
      <c r="L31" t="s">
        <v>22</v>
      </c>
      <c r="M31" s="3">
        <v>0</v>
      </c>
      <c r="N31" s="3">
        <v>160000</v>
      </c>
      <c r="P31" t="s">
        <v>23</v>
      </c>
    </row>
    <row r="32" spans="1:16">
      <c r="A32" t="s">
        <v>193</v>
      </c>
      <c r="B32" t="s">
        <v>194</v>
      </c>
      <c r="C32" s="3">
        <v>266620</v>
      </c>
      <c r="D32" s="1">
        <v>45859</v>
      </c>
      <c r="E32" s="1">
        <v>45859</v>
      </c>
      <c r="F32" t="s">
        <v>24</v>
      </c>
      <c r="H32" t="s">
        <v>1162</v>
      </c>
      <c r="I32" t="s">
        <v>767</v>
      </c>
      <c r="J32" t="s">
        <v>768</v>
      </c>
      <c r="K32" t="s">
        <v>1163</v>
      </c>
      <c r="L32" t="s">
        <v>22</v>
      </c>
      <c r="M32" s="3">
        <v>0</v>
      </c>
      <c r="N32" s="3">
        <v>1521.67</v>
      </c>
      <c r="O32" t="s">
        <v>1093</v>
      </c>
      <c r="P32" t="s">
        <v>23</v>
      </c>
    </row>
    <row r="33" spans="1:16">
      <c r="A33" t="s">
        <v>38</v>
      </c>
      <c r="B33" t="s">
        <v>39</v>
      </c>
      <c r="C33" s="3">
        <v>2857.31</v>
      </c>
      <c r="D33" s="1">
        <v>45840</v>
      </c>
      <c r="E33" s="1">
        <v>45840</v>
      </c>
      <c r="F33" t="s">
        <v>28</v>
      </c>
      <c r="H33" t="s">
        <v>722</v>
      </c>
      <c r="I33" t="s">
        <v>932</v>
      </c>
      <c r="J33" t="s">
        <v>933</v>
      </c>
      <c r="K33" t="s">
        <v>1164</v>
      </c>
      <c r="L33" t="s">
        <v>41</v>
      </c>
      <c r="M33" s="3">
        <v>0</v>
      </c>
      <c r="N33" s="3">
        <v>1271.33</v>
      </c>
      <c r="O33" t="s">
        <v>1093</v>
      </c>
      <c r="P33" t="s">
        <v>23</v>
      </c>
    </row>
    <row r="34" spans="1:16">
      <c r="A34" t="s">
        <v>38</v>
      </c>
      <c r="B34" t="s">
        <v>39</v>
      </c>
      <c r="C34" s="3">
        <v>2857.31</v>
      </c>
      <c r="D34" s="1">
        <v>45854</v>
      </c>
      <c r="E34" s="1">
        <v>45854</v>
      </c>
      <c r="F34" t="s">
        <v>1165</v>
      </c>
      <c r="H34" t="s">
        <v>43</v>
      </c>
      <c r="I34" t="s">
        <v>1166</v>
      </c>
      <c r="J34" t="s">
        <v>1167</v>
      </c>
      <c r="K34" t="s">
        <v>1168</v>
      </c>
      <c r="L34" t="s">
        <v>47</v>
      </c>
      <c r="M34" s="3">
        <v>0</v>
      </c>
      <c r="N34" s="3">
        <v>2975.84</v>
      </c>
      <c r="O34" t="s">
        <v>1093</v>
      </c>
      <c r="P34" t="s">
        <v>23</v>
      </c>
    </row>
    <row r="35" spans="1:16">
      <c r="A35" t="s">
        <v>38</v>
      </c>
      <c r="B35" t="s">
        <v>39</v>
      </c>
      <c r="C35" s="3">
        <v>2857.31</v>
      </c>
      <c r="D35" s="1">
        <v>45854</v>
      </c>
      <c r="E35" s="1">
        <v>45854</v>
      </c>
      <c r="F35" t="s">
        <v>1169</v>
      </c>
      <c r="H35" t="s">
        <v>43</v>
      </c>
      <c r="I35" t="s">
        <v>951</v>
      </c>
      <c r="J35" t="s">
        <v>952</v>
      </c>
      <c r="K35" t="s">
        <v>1170</v>
      </c>
      <c r="L35" t="s">
        <v>47</v>
      </c>
      <c r="M35" s="3">
        <v>0</v>
      </c>
      <c r="N35" s="3">
        <v>4721.55</v>
      </c>
      <c r="O35" t="s">
        <v>1093</v>
      </c>
      <c r="P35" t="s">
        <v>23</v>
      </c>
    </row>
    <row r="36" spans="1:16" hidden="1">
      <c r="A36" t="s">
        <v>545</v>
      </c>
      <c r="B36" t="s">
        <v>546</v>
      </c>
      <c r="C36" s="3">
        <v>-52.06</v>
      </c>
      <c r="M36" s="3">
        <v>0</v>
      </c>
      <c r="N36" s="3">
        <v>0</v>
      </c>
      <c r="P36" t="s">
        <v>23</v>
      </c>
    </row>
    <row r="37" spans="1:16" hidden="1">
      <c r="A37" t="s">
        <v>772</v>
      </c>
      <c r="B37" t="s">
        <v>773</v>
      </c>
      <c r="C37" s="3">
        <v>191953.11</v>
      </c>
      <c r="D37" s="1">
        <v>45853</v>
      </c>
      <c r="E37" s="1">
        <v>45853</v>
      </c>
      <c r="H37" t="s">
        <v>1171</v>
      </c>
      <c r="I37" t="s">
        <v>1172</v>
      </c>
      <c r="J37" t="s">
        <v>1171</v>
      </c>
      <c r="K37" t="s">
        <v>1173</v>
      </c>
      <c r="L37" t="s">
        <v>22</v>
      </c>
      <c r="M37" s="3">
        <v>270000</v>
      </c>
      <c r="N37" s="3">
        <v>0</v>
      </c>
      <c r="P37" t="s">
        <v>23</v>
      </c>
    </row>
    <row r="38" spans="1:16">
      <c r="A38" t="s">
        <v>772</v>
      </c>
      <c r="B38" t="s">
        <v>773</v>
      </c>
      <c r="C38" s="3">
        <v>191953.11</v>
      </c>
      <c r="D38" s="1">
        <v>45862</v>
      </c>
      <c r="E38" s="1">
        <v>45862</v>
      </c>
      <c r="H38" t="s">
        <v>1174</v>
      </c>
      <c r="I38" t="s">
        <v>990</v>
      </c>
      <c r="J38" t="s">
        <v>991</v>
      </c>
      <c r="K38" t="s">
        <v>1175</v>
      </c>
      <c r="L38" t="s">
        <v>41</v>
      </c>
      <c r="M38" s="3">
        <v>0</v>
      </c>
      <c r="N38" s="3">
        <v>1456</v>
      </c>
      <c r="O38" t="s">
        <v>1093</v>
      </c>
      <c r="P38" t="s">
        <v>23</v>
      </c>
    </row>
    <row r="39" spans="1:16" hidden="1">
      <c r="A39" t="s">
        <v>1072</v>
      </c>
      <c r="B39" t="s">
        <v>1073</v>
      </c>
      <c r="C39" s="3">
        <v>241.23</v>
      </c>
      <c r="M39" s="3">
        <v>0</v>
      </c>
      <c r="N39" s="3">
        <v>0</v>
      </c>
      <c r="P39" t="s">
        <v>23</v>
      </c>
    </row>
    <row r="40" spans="1:16">
      <c r="A40" t="s">
        <v>1075</v>
      </c>
      <c r="B40" t="s">
        <v>1076</v>
      </c>
      <c r="C40" s="3">
        <v>3911.11</v>
      </c>
      <c r="D40" s="1">
        <v>45854</v>
      </c>
      <c r="E40" s="1">
        <v>45854</v>
      </c>
      <c r="F40" t="s">
        <v>1176</v>
      </c>
      <c r="H40" t="s">
        <v>1177</v>
      </c>
      <c r="I40" t="s">
        <v>919</v>
      </c>
      <c r="J40" t="s">
        <v>920</v>
      </c>
      <c r="K40" t="s">
        <v>1178</v>
      </c>
      <c r="L40" t="s">
        <v>47</v>
      </c>
      <c r="M40" s="3">
        <v>0</v>
      </c>
      <c r="N40" s="3">
        <v>3010.15</v>
      </c>
      <c r="O40" t="s">
        <v>1093</v>
      </c>
      <c r="P40" t="s">
        <v>23</v>
      </c>
    </row>
    <row r="41" spans="1:16" hidden="1">
      <c r="A41" t="s">
        <v>1150</v>
      </c>
      <c r="B41" t="s">
        <v>1151</v>
      </c>
      <c r="C41" s="3">
        <v>0</v>
      </c>
      <c r="D41" s="1">
        <v>45859</v>
      </c>
      <c r="E41" s="1">
        <v>45859</v>
      </c>
      <c r="F41" t="s">
        <v>1148</v>
      </c>
      <c r="H41" t="s">
        <v>1149</v>
      </c>
      <c r="I41" t="s">
        <v>15</v>
      </c>
      <c r="J41" t="s">
        <v>16</v>
      </c>
      <c r="K41" t="s">
        <v>1152</v>
      </c>
      <c r="L41" t="s">
        <v>22</v>
      </c>
      <c r="M41" s="3">
        <v>0</v>
      </c>
      <c r="N41" s="3">
        <v>160095.38</v>
      </c>
      <c r="P41" t="s">
        <v>23</v>
      </c>
    </row>
    <row r="42" spans="1:16" hidden="1">
      <c r="A42" t="s">
        <v>1150</v>
      </c>
      <c r="B42" t="s">
        <v>1151</v>
      </c>
      <c r="C42" s="3">
        <v>0</v>
      </c>
      <c r="D42" s="1">
        <v>45859</v>
      </c>
      <c r="E42" s="1">
        <v>45859</v>
      </c>
      <c r="F42" t="s">
        <v>1159</v>
      </c>
      <c r="H42" t="s">
        <v>1160</v>
      </c>
      <c r="I42" t="s">
        <v>193</v>
      </c>
      <c r="J42" t="s">
        <v>194</v>
      </c>
      <c r="K42" t="s">
        <v>1161</v>
      </c>
      <c r="L42" t="s">
        <v>22</v>
      </c>
      <c r="M42" s="3">
        <v>160000</v>
      </c>
      <c r="N42" s="3">
        <v>0</v>
      </c>
      <c r="P42" t="s">
        <v>23</v>
      </c>
    </row>
    <row r="43" spans="1:16" hidden="1">
      <c r="A43" t="s">
        <v>1150</v>
      </c>
      <c r="B43" t="s">
        <v>1151</v>
      </c>
      <c r="C43" s="3">
        <v>0</v>
      </c>
      <c r="D43" s="1">
        <v>45859</v>
      </c>
      <c r="E43" s="1">
        <v>45859</v>
      </c>
      <c r="H43" t="s">
        <v>37</v>
      </c>
      <c r="I43" t="s">
        <v>404</v>
      </c>
      <c r="J43" t="s">
        <v>403</v>
      </c>
      <c r="K43" t="s">
        <v>1179</v>
      </c>
      <c r="L43" t="s">
        <v>41</v>
      </c>
      <c r="M43" s="3">
        <v>95.38</v>
      </c>
      <c r="N43" s="3">
        <v>0</v>
      </c>
      <c r="P43" t="s">
        <v>23</v>
      </c>
    </row>
  </sheetData>
  <autoFilter ref="A1:P43" xr:uid="{0411B9E9-96B3-437B-BF86-4576E3586E8F}">
    <filterColumn colId="14">
      <filters>
        <filter val="supplie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8908-3A63-4407-A2A5-CFE7702720CA}">
  <sheetPr filterMode="1"/>
  <dimension ref="A1:P69"/>
  <sheetViews>
    <sheetView topLeftCell="A25" workbookViewId="0">
      <selection activeCell="N2" sqref="N2:N70"/>
    </sheetView>
  </sheetViews>
  <sheetFormatPr defaultRowHeight="15"/>
  <cols>
    <col min="1" max="1" width="8.7109375" bestFit="1" customWidth="1"/>
    <col min="2" max="2" width="30.5703125" bestFit="1" customWidth="1"/>
    <col min="3" max="3" width="12.85546875" bestFit="1" customWidth="1"/>
    <col min="4" max="4" width="12.7109375" bestFit="1" customWidth="1"/>
    <col min="5" max="5" width="11.140625" bestFit="1" customWidth="1"/>
    <col min="6" max="6" width="13.85546875" bestFit="1" customWidth="1"/>
    <col min="7" max="7" width="11" bestFit="1" customWidth="1"/>
    <col min="8" max="8" width="23" bestFit="1" customWidth="1"/>
    <col min="9" max="9" width="10.42578125" bestFit="1" customWidth="1"/>
    <col min="10" max="10" width="42.42578125" bestFit="1" customWidth="1"/>
    <col min="11" max="11" width="16" bestFit="1" customWidth="1"/>
    <col min="12" max="12" width="10.28515625" bestFit="1" customWidth="1"/>
    <col min="13" max="14" width="11" style="3" bestFit="1" customWidth="1"/>
    <col min="16" max="16" width="4.85546875" bestFit="1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1180</v>
      </c>
      <c r="N1" s="4" t="s">
        <v>1181</v>
      </c>
      <c r="P1" t="s">
        <v>14</v>
      </c>
    </row>
    <row r="2" spans="1:16">
      <c r="A2">
        <v>1110101</v>
      </c>
      <c r="B2" s="4" t="s">
        <v>16</v>
      </c>
      <c r="C2">
        <v>13523.95</v>
      </c>
      <c r="D2" s="1">
        <v>45724</v>
      </c>
      <c r="E2" s="1">
        <v>45724</v>
      </c>
      <c r="F2">
        <v>7604</v>
      </c>
      <c r="H2" s="4" t="s">
        <v>18</v>
      </c>
      <c r="I2">
        <v>2123120</v>
      </c>
      <c r="J2" s="4" t="s">
        <v>26</v>
      </c>
      <c r="K2">
        <v>25001423</v>
      </c>
      <c r="L2" s="4" t="s">
        <v>22</v>
      </c>
      <c r="M2" t="s">
        <v>1182</v>
      </c>
      <c r="N2" s="5">
        <v>2739.13</v>
      </c>
      <c r="O2" t="s">
        <v>1183</v>
      </c>
      <c r="P2" t="s">
        <v>23</v>
      </c>
    </row>
    <row r="3" spans="1:16">
      <c r="A3">
        <v>1110101</v>
      </c>
      <c r="B3" s="4" t="s">
        <v>16</v>
      </c>
      <c r="C3">
        <v>13523.95</v>
      </c>
      <c r="D3" s="1">
        <v>45724</v>
      </c>
      <c r="E3" s="1">
        <v>45724</v>
      </c>
      <c r="F3">
        <v>6884</v>
      </c>
      <c r="H3" s="4" t="s">
        <v>18</v>
      </c>
      <c r="I3">
        <v>2123111</v>
      </c>
      <c r="J3" s="4" t="s">
        <v>30</v>
      </c>
      <c r="K3">
        <v>25001424</v>
      </c>
      <c r="L3" s="4" t="s">
        <v>22</v>
      </c>
      <c r="M3" t="s">
        <v>1182</v>
      </c>
      <c r="N3" s="5">
        <v>4275.29</v>
      </c>
      <c r="O3" t="s">
        <v>1183</v>
      </c>
      <c r="P3" t="s">
        <v>23</v>
      </c>
    </row>
    <row r="4" spans="1:16">
      <c r="A4">
        <v>1110101</v>
      </c>
      <c r="B4" s="4" t="s">
        <v>16</v>
      </c>
      <c r="C4">
        <v>13523.95</v>
      </c>
      <c r="D4" s="1">
        <v>45816</v>
      </c>
      <c r="E4" s="1">
        <v>45816</v>
      </c>
      <c r="F4" t="s">
        <v>1184</v>
      </c>
      <c r="H4" s="4" t="s">
        <v>1185</v>
      </c>
      <c r="I4">
        <v>2111111</v>
      </c>
      <c r="J4" t="s">
        <v>75</v>
      </c>
      <c r="K4">
        <v>25001426</v>
      </c>
      <c r="L4" s="4" t="s">
        <v>47</v>
      </c>
      <c r="M4" t="s">
        <v>1182</v>
      </c>
      <c r="N4">
        <v>340.38</v>
      </c>
      <c r="O4" t="s">
        <v>1183</v>
      </c>
      <c r="P4" t="s">
        <v>23</v>
      </c>
    </row>
    <row r="5" spans="1:16">
      <c r="A5">
        <v>1110101</v>
      </c>
      <c r="B5" s="4" t="s">
        <v>16</v>
      </c>
      <c r="C5">
        <v>13523.95</v>
      </c>
      <c r="D5" s="1">
        <v>45816</v>
      </c>
      <c r="E5" s="1">
        <v>45816</v>
      </c>
      <c r="F5" t="s">
        <v>1186</v>
      </c>
      <c r="H5" s="4" t="s">
        <v>43</v>
      </c>
      <c r="I5">
        <v>2111199</v>
      </c>
      <c r="J5" t="s">
        <v>634</v>
      </c>
      <c r="K5">
        <v>25001427</v>
      </c>
      <c r="L5" s="4" t="s">
        <v>47</v>
      </c>
      <c r="M5" t="s">
        <v>1182</v>
      </c>
      <c r="N5">
        <v>538.78</v>
      </c>
      <c r="O5" t="s">
        <v>1183</v>
      </c>
      <c r="P5" t="s">
        <v>23</v>
      </c>
    </row>
    <row r="6" spans="1:16">
      <c r="A6">
        <v>1110101</v>
      </c>
      <c r="B6" s="4" t="s">
        <v>16</v>
      </c>
      <c r="C6">
        <v>13523.95</v>
      </c>
      <c r="D6" s="1">
        <v>45846</v>
      </c>
      <c r="E6" s="1">
        <v>45846</v>
      </c>
      <c r="F6">
        <v>15997109</v>
      </c>
      <c r="H6" s="4" t="s">
        <v>1105</v>
      </c>
      <c r="I6">
        <v>1151104</v>
      </c>
      <c r="J6" s="4" t="s">
        <v>60</v>
      </c>
      <c r="K6">
        <v>25001425</v>
      </c>
      <c r="L6" s="4" t="s">
        <v>22</v>
      </c>
      <c r="M6" s="5">
        <v>17309.93</v>
      </c>
      <c r="N6" s="5">
        <f>-M6</f>
        <v>-17309.93</v>
      </c>
      <c r="O6" t="s">
        <v>1183</v>
      </c>
      <c r="P6" t="s">
        <v>23</v>
      </c>
    </row>
    <row r="7" spans="1:16" hidden="1">
      <c r="A7">
        <v>1110101</v>
      </c>
      <c r="B7" s="4" t="s">
        <v>16</v>
      </c>
      <c r="C7">
        <v>13523.95</v>
      </c>
      <c r="D7" s="1">
        <v>45938</v>
      </c>
      <c r="E7" s="1">
        <v>45938</v>
      </c>
      <c r="F7">
        <v>88367305</v>
      </c>
      <c r="H7" s="4" t="s">
        <v>220</v>
      </c>
      <c r="I7">
        <v>2121103</v>
      </c>
      <c r="J7" s="4" t="s">
        <v>65</v>
      </c>
      <c r="K7">
        <v>25001509</v>
      </c>
      <c r="L7" s="4" t="s">
        <v>22</v>
      </c>
      <c r="M7" t="s">
        <v>1182</v>
      </c>
      <c r="N7" s="5">
        <v>23150.2</v>
      </c>
      <c r="O7" t="s">
        <v>1187</v>
      </c>
      <c r="P7" t="s">
        <v>23</v>
      </c>
    </row>
    <row r="8" spans="1:16" hidden="1">
      <c r="A8">
        <v>1110101</v>
      </c>
      <c r="B8" s="4" t="s">
        <v>16</v>
      </c>
      <c r="C8">
        <v>13523.95</v>
      </c>
      <c r="D8" s="1">
        <v>45969</v>
      </c>
      <c r="E8" s="1">
        <v>45969</v>
      </c>
      <c r="F8" t="s">
        <v>1188</v>
      </c>
      <c r="H8" t="s">
        <v>586</v>
      </c>
      <c r="I8">
        <v>2112325</v>
      </c>
      <c r="J8" s="4" t="s">
        <v>225</v>
      </c>
      <c r="K8">
        <v>25001482</v>
      </c>
      <c r="L8" s="4" t="s">
        <v>144</v>
      </c>
      <c r="M8">
        <v>461.01</v>
      </c>
      <c r="N8" t="s">
        <v>1182</v>
      </c>
      <c r="P8" t="s">
        <v>23</v>
      </c>
    </row>
    <row r="9" spans="1:16" hidden="1">
      <c r="A9">
        <v>1110101</v>
      </c>
      <c r="B9" s="4" t="s">
        <v>16</v>
      </c>
      <c r="C9">
        <v>13523.95</v>
      </c>
      <c r="D9" t="s">
        <v>1189</v>
      </c>
      <c r="E9" t="s">
        <v>1189</v>
      </c>
      <c r="F9">
        <v>4119336677</v>
      </c>
      <c r="H9" s="4" t="s">
        <v>1190</v>
      </c>
      <c r="I9">
        <v>1110112</v>
      </c>
      <c r="J9" s="4" t="s">
        <v>1151</v>
      </c>
      <c r="K9">
        <v>25001510</v>
      </c>
      <c r="L9" s="4" t="s">
        <v>22</v>
      </c>
      <c r="M9" s="5">
        <v>59973.41</v>
      </c>
      <c r="N9" t="s">
        <v>1182</v>
      </c>
      <c r="P9" t="s">
        <v>23</v>
      </c>
    </row>
    <row r="10" spans="1:16">
      <c r="A10">
        <v>1110101</v>
      </c>
      <c r="B10" s="4" t="s">
        <v>16</v>
      </c>
      <c r="C10">
        <v>13523.95</v>
      </c>
      <c r="D10" t="s">
        <v>1191</v>
      </c>
      <c r="E10" t="s">
        <v>1191</v>
      </c>
      <c r="F10" t="s">
        <v>1192</v>
      </c>
      <c r="H10" s="4" t="s">
        <v>43</v>
      </c>
      <c r="I10">
        <v>2111110</v>
      </c>
      <c r="J10" t="s">
        <v>698</v>
      </c>
      <c r="K10">
        <v>25001499</v>
      </c>
      <c r="L10" s="4" t="s">
        <v>47</v>
      </c>
      <c r="M10" t="s">
        <v>1182</v>
      </c>
      <c r="N10" s="5">
        <v>8885.73</v>
      </c>
      <c r="O10" t="s">
        <v>1183</v>
      </c>
      <c r="P10" t="s">
        <v>23</v>
      </c>
    </row>
    <row r="11" spans="1:16">
      <c r="A11">
        <v>1110101</v>
      </c>
      <c r="B11" s="4" t="s">
        <v>16</v>
      </c>
      <c r="C11">
        <v>13523.95</v>
      </c>
      <c r="D11" t="s">
        <v>1191</v>
      </c>
      <c r="E11" t="s">
        <v>1191</v>
      </c>
      <c r="F11" t="s">
        <v>1193</v>
      </c>
      <c r="H11" s="4" t="s">
        <v>43</v>
      </c>
      <c r="I11">
        <v>2112587</v>
      </c>
      <c r="J11" s="4" t="s">
        <v>1194</v>
      </c>
      <c r="K11">
        <v>25001500</v>
      </c>
      <c r="L11" s="4" t="s">
        <v>47</v>
      </c>
      <c r="M11" t="s">
        <v>1182</v>
      </c>
      <c r="N11" s="5">
        <v>5732.05</v>
      </c>
      <c r="O11" t="s">
        <v>1183</v>
      </c>
      <c r="P11" t="s">
        <v>23</v>
      </c>
    </row>
    <row r="12" spans="1:16">
      <c r="A12">
        <v>1110101</v>
      </c>
      <c r="B12" s="4" t="s">
        <v>16</v>
      </c>
      <c r="C12">
        <v>13523.95</v>
      </c>
      <c r="D12" t="s">
        <v>1191</v>
      </c>
      <c r="E12" t="s">
        <v>1191</v>
      </c>
      <c r="F12" t="s">
        <v>1195</v>
      </c>
      <c r="H12" s="4" t="s">
        <v>43</v>
      </c>
      <c r="I12">
        <v>2112670</v>
      </c>
      <c r="J12" s="4" t="s">
        <v>254</v>
      </c>
      <c r="K12">
        <v>25001501</v>
      </c>
      <c r="L12" s="4" t="s">
        <v>47</v>
      </c>
      <c r="M12" t="s">
        <v>1182</v>
      </c>
      <c r="N12" s="5">
        <v>2356.5100000000002</v>
      </c>
      <c r="O12" t="s">
        <v>1183</v>
      </c>
      <c r="P12" t="s">
        <v>23</v>
      </c>
    </row>
    <row r="13" spans="1:16">
      <c r="A13">
        <v>1110101</v>
      </c>
      <c r="B13" s="4" t="s">
        <v>16</v>
      </c>
      <c r="C13">
        <v>13523.95</v>
      </c>
      <c r="D13" t="s">
        <v>1191</v>
      </c>
      <c r="E13" t="s">
        <v>1191</v>
      </c>
      <c r="F13" t="s">
        <v>1196</v>
      </c>
      <c r="H13" s="4" t="s">
        <v>43</v>
      </c>
      <c r="I13">
        <v>2112566</v>
      </c>
      <c r="J13" s="4" t="s">
        <v>107</v>
      </c>
      <c r="K13">
        <v>25001502</v>
      </c>
      <c r="L13" s="4" t="s">
        <v>47</v>
      </c>
      <c r="M13" t="s">
        <v>1182</v>
      </c>
      <c r="N13" s="5">
        <v>1308.71</v>
      </c>
      <c r="O13" t="s">
        <v>1183</v>
      </c>
      <c r="P13" t="s">
        <v>23</v>
      </c>
    </row>
    <row r="14" spans="1:16">
      <c r="A14">
        <v>1110101</v>
      </c>
      <c r="B14" s="4" t="s">
        <v>16</v>
      </c>
      <c r="C14">
        <v>13523.95</v>
      </c>
      <c r="D14" t="s">
        <v>1191</v>
      </c>
      <c r="E14" t="s">
        <v>1191</v>
      </c>
      <c r="F14" t="s">
        <v>1197</v>
      </c>
      <c r="H14" s="4" t="s">
        <v>43</v>
      </c>
      <c r="I14">
        <v>2111187</v>
      </c>
      <c r="J14" t="s">
        <v>1198</v>
      </c>
      <c r="K14">
        <v>25001503</v>
      </c>
      <c r="L14" s="4" t="s">
        <v>47</v>
      </c>
      <c r="M14" t="s">
        <v>1182</v>
      </c>
      <c r="N14" s="5">
        <v>1220.0899999999999</v>
      </c>
      <c r="O14" t="s">
        <v>1183</v>
      </c>
      <c r="P14" t="s">
        <v>23</v>
      </c>
    </row>
    <row r="15" spans="1:16">
      <c r="A15">
        <v>1110101</v>
      </c>
      <c r="B15" s="4" t="s">
        <v>16</v>
      </c>
      <c r="C15">
        <v>13523.95</v>
      </c>
      <c r="D15" t="s">
        <v>1191</v>
      </c>
      <c r="E15" t="s">
        <v>1191</v>
      </c>
      <c r="F15" t="s">
        <v>1199</v>
      </c>
      <c r="H15" s="4" t="s">
        <v>43</v>
      </c>
      <c r="I15">
        <v>2112591</v>
      </c>
      <c r="J15" s="4" t="s">
        <v>159</v>
      </c>
      <c r="K15">
        <v>25001504</v>
      </c>
      <c r="L15" s="4" t="s">
        <v>47</v>
      </c>
      <c r="M15" t="s">
        <v>1182</v>
      </c>
      <c r="N15">
        <v>702.81</v>
      </c>
      <c r="O15" t="s">
        <v>1183</v>
      </c>
      <c r="P15" t="s">
        <v>23</v>
      </c>
    </row>
    <row r="16" spans="1:16">
      <c r="A16">
        <v>1110101</v>
      </c>
      <c r="B16" s="4" t="s">
        <v>16</v>
      </c>
      <c r="C16">
        <v>13523.95</v>
      </c>
      <c r="D16" t="s">
        <v>1191</v>
      </c>
      <c r="E16" t="s">
        <v>1191</v>
      </c>
      <c r="F16" t="s">
        <v>1200</v>
      </c>
      <c r="H16" s="4" t="s">
        <v>43</v>
      </c>
      <c r="I16">
        <v>2111181</v>
      </c>
      <c r="J16" t="s">
        <v>135</v>
      </c>
      <c r="K16">
        <v>25001505</v>
      </c>
      <c r="L16" s="4" t="s">
        <v>47</v>
      </c>
      <c r="M16" t="s">
        <v>1182</v>
      </c>
      <c r="N16">
        <v>335.6</v>
      </c>
      <c r="O16" t="s">
        <v>1183</v>
      </c>
      <c r="P16" t="s">
        <v>23</v>
      </c>
    </row>
    <row r="17" spans="1:16">
      <c r="A17">
        <v>1110101</v>
      </c>
      <c r="B17" s="4" t="s">
        <v>16</v>
      </c>
      <c r="C17">
        <v>13523.95</v>
      </c>
      <c r="D17" t="s">
        <v>1191</v>
      </c>
      <c r="E17" t="s">
        <v>1191</v>
      </c>
      <c r="F17" t="s">
        <v>1201</v>
      </c>
      <c r="H17" s="4" t="s">
        <v>43</v>
      </c>
      <c r="I17">
        <v>2112460</v>
      </c>
      <c r="J17" t="s">
        <v>173</v>
      </c>
      <c r="K17">
        <v>25001506</v>
      </c>
      <c r="L17" s="4" t="s">
        <v>47</v>
      </c>
      <c r="M17" t="s">
        <v>1182</v>
      </c>
      <c r="N17">
        <v>62.63</v>
      </c>
      <c r="O17" t="s">
        <v>1183</v>
      </c>
      <c r="P17" t="s">
        <v>23</v>
      </c>
    </row>
    <row r="18" spans="1:16" hidden="1">
      <c r="A18">
        <v>1110101</v>
      </c>
      <c r="B18" s="4" t="s">
        <v>16</v>
      </c>
      <c r="C18">
        <v>13523.95</v>
      </c>
      <c r="D18" t="s">
        <v>1191</v>
      </c>
      <c r="E18" t="s">
        <v>1191</v>
      </c>
      <c r="F18">
        <v>38286555</v>
      </c>
      <c r="H18" s="4" t="s">
        <v>1202</v>
      </c>
      <c r="I18">
        <v>2121100</v>
      </c>
      <c r="J18" s="4" t="s">
        <v>129</v>
      </c>
      <c r="K18">
        <v>25001521</v>
      </c>
      <c r="L18" s="4" t="s">
        <v>22</v>
      </c>
      <c r="M18" t="s">
        <v>1182</v>
      </c>
      <c r="N18">
        <v>477.51</v>
      </c>
      <c r="O18" t="s">
        <v>1187</v>
      </c>
      <c r="P18" t="s">
        <v>23</v>
      </c>
    </row>
    <row r="19" spans="1:16">
      <c r="A19">
        <v>1110101</v>
      </c>
      <c r="B19" s="4" t="s">
        <v>16</v>
      </c>
      <c r="C19">
        <v>13523.95</v>
      </c>
      <c r="D19" t="s">
        <v>1203</v>
      </c>
      <c r="E19" t="s">
        <v>1203</v>
      </c>
      <c r="F19" t="s">
        <v>1204</v>
      </c>
      <c r="H19" s="4" t="s">
        <v>101</v>
      </c>
      <c r="I19">
        <v>2111104</v>
      </c>
      <c r="J19" s="4" t="s">
        <v>103</v>
      </c>
      <c r="K19">
        <v>25001520</v>
      </c>
      <c r="L19" s="4" t="s">
        <v>47</v>
      </c>
      <c r="M19" t="s">
        <v>1182</v>
      </c>
      <c r="N19" s="5">
        <v>4742.01</v>
      </c>
      <c r="O19" t="s">
        <v>1183</v>
      </c>
      <c r="P19" t="s">
        <v>23</v>
      </c>
    </row>
    <row r="20" spans="1:16">
      <c r="A20">
        <v>1110101</v>
      </c>
      <c r="B20" s="4" t="s">
        <v>16</v>
      </c>
      <c r="C20">
        <v>13523.95</v>
      </c>
      <c r="D20" t="s">
        <v>1205</v>
      </c>
      <c r="E20" t="s">
        <v>1205</v>
      </c>
      <c r="F20" t="s">
        <v>1206</v>
      </c>
      <c r="H20" s="4" t="s">
        <v>43</v>
      </c>
      <c r="I20">
        <v>2112670</v>
      </c>
      <c r="J20" s="4" t="s">
        <v>254</v>
      </c>
      <c r="K20">
        <v>25001519</v>
      </c>
      <c r="L20" s="4" t="s">
        <v>47</v>
      </c>
      <c r="M20" t="s">
        <v>1182</v>
      </c>
      <c r="N20" s="5">
        <v>2294.37</v>
      </c>
      <c r="O20" t="s">
        <v>1183</v>
      </c>
      <c r="P20" t="s">
        <v>23</v>
      </c>
    </row>
    <row r="21" spans="1:16" hidden="1">
      <c r="A21">
        <v>1110101</v>
      </c>
      <c r="B21" s="4" t="s">
        <v>16</v>
      </c>
      <c r="C21">
        <v>13523.95</v>
      </c>
      <c r="D21" t="s">
        <v>1205</v>
      </c>
      <c r="E21" t="s">
        <v>1205</v>
      </c>
      <c r="F21">
        <v>157899</v>
      </c>
      <c r="H21" s="4" t="s">
        <v>647</v>
      </c>
      <c r="I21">
        <v>1110105</v>
      </c>
      <c r="J21" s="4" t="s">
        <v>546</v>
      </c>
      <c r="K21">
        <v>25001526</v>
      </c>
      <c r="L21" s="4" t="s">
        <v>41</v>
      </c>
      <c r="M21" t="s">
        <v>1182</v>
      </c>
      <c r="N21" s="5">
        <v>7690.13</v>
      </c>
      <c r="P21" t="s">
        <v>23</v>
      </c>
    </row>
    <row r="22" spans="1:16" hidden="1">
      <c r="A22">
        <v>1110101</v>
      </c>
      <c r="B22" s="4" t="s">
        <v>16</v>
      </c>
      <c r="C22">
        <v>13523.95</v>
      </c>
      <c r="D22" t="s">
        <v>1207</v>
      </c>
      <c r="E22" t="s">
        <v>1207</v>
      </c>
      <c r="F22">
        <v>2762995</v>
      </c>
      <c r="H22" s="4" t="s">
        <v>120</v>
      </c>
      <c r="I22">
        <v>2121101</v>
      </c>
      <c r="J22" s="4" t="s">
        <v>122</v>
      </c>
      <c r="K22">
        <v>25001523</v>
      </c>
      <c r="L22" s="4" t="s">
        <v>22</v>
      </c>
      <c r="M22" t="s">
        <v>1182</v>
      </c>
      <c r="N22" s="5">
        <v>22960.59</v>
      </c>
      <c r="O22" t="s">
        <v>1187</v>
      </c>
      <c r="P22" t="s">
        <v>23</v>
      </c>
    </row>
    <row r="23" spans="1:16" hidden="1">
      <c r="A23">
        <v>1110101</v>
      </c>
      <c r="B23" s="4" t="s">
        <v>16</v>
      </c>
      <c r="C23">
        <v>13523.95</v>
      </c>
      <c r="D23" t="s">
        <v>1208</v>
      </c>
      <c r="E23" t="s">
        <v>1208</v>
      </c>
      <c r="F23">
        <v>38286555</v>
      </c>
      <c r="H23" s="4" t="s">
        <v>1113</v>
      </c>
      <c r="I23">
        <v>2121100</v>
      </c>
      <c r="J23" s="4" t="s">
        <v>129</v>
      </c>
      <c r="K23">
        <v>25001522</v>
      </c>
      <c r="L23" s="4" t="s">
        <v>22</v>
      </c>
      <c r="M23" t="s">
        <v>1182</v>
      </c>
      <c r="N23" s="5">
        <v>14866.71</v>
      </c>
      <c r="O23" t="s">
        <v>1187</v>
      </c>
      <c r="P23" t="s">
        <v>23</v>
      </c>
    </row>
    <row r="24" spans="1:16" hidden="1">
      <c r="A24">
        <v>1110101</v>
      </c>
      <c r="B24" s="4" t="s">
        <v>16</v>
      </c>
      <c r="C24">
        <v>13523.95</v>
      </c>
      <c r="D24" t="s">
        <v>1209</v>
      </c>
      <c r="E24" t="s">
        <v>1209</v>
      </c>
      <c r="F24">
        <v>413545065</v>
      </c>
      <c r="H24" s="4" t="s">
        <v>1210</v>
      </c>
      <c r="I24">
        <v>1110112</v>
      </c>
      <c r="J24" s="4" t="s">
        <v>1151</v>
      </c>
      <c r="K24">
        <v>25001541</v>
      </c>
      <c r="L24" s="4" t="s">
        <v>22</v>
      </c>
      <c r="M24" s="5">
        <v>108998.83</v>
      </c>
      <c r="N24" t="s">
        <v>1182</v>
      </c>
      <c r="P24" t="s">
        <v>23</v>
      </c>
    </row>
    <row r="25" spans="1:16">
      <c r="A25">
        <v>1110101</v>
      </c>
      <c r="B25" s="4" t="s">
        <v>16</v>
      </c>
      <c r="C25">
        <v>13523.95</v>
      </c>
      <c r="D25" t="s">
        <v>1209</v>
      </c>
      <c r="E25" t="s">
        <v>1209</v>
      </c>
      <c r="F25">
        <v>238000142</v>
      </c>
      <c r="H25" s="4" t="s">
        <v>500</v>
      </c>
      <c r="I25">
        <v>1151104</v>
      </c>
      <c r="J25" s="4" t="s">
        <v>60</v>
      </c>
      <c r="K25">
        <v>25001543</v>
      </c>
      <c r="L25" s="4" t="s">
        <v>22</v>
      </c>
      <c r="M25" t="s">
        <v>1182</v>
      </c>
      <c r="N25" s="5">
        <v>1928.07</v>
      </c>
      <c r="O25" t="s">
        <v>1183</v>
      </c>
      <c r="P25" t="s">
        <v>23</v>
      </c>
    </row>
    <row r="26" spans="1:16" hidden="1">
      <c r="A26">
        <v>1110101</v>
      </c>
      <c r="B26" s="4" t="s">
        <v>16</v>
      </c>
      <c r="C26">
        <v>13523.95</v>
      </c>
      <c r="D26" t="s">
        <v>1209</v>
      </c>
      <c r="E26" t="s">
        <v>1209</v>
      </c>
      <c r="F26">
        <v>10026</v>
      </c>
      <c r="H26" t="s">
        <v>1211</v>
      </c>
      <c r="I26">
        <v>1110102</v>
      </c>
      <c r="J26" s="4" t="s">
        <v>194</v>
      </c>
      <c r="K26">
        <v>25001545</v>
      </c>
      <c r="L26" s="4" t="s">
        <v>41</v>
      </c>
      <c r="M26" s="5">
        <v>9000</v>
      </c>
      <c r="N26" t="s">
        <v>1182</v>
      </c>
      <c r="P26" t="s">
        <v>23</v>
      </c>
    </row>
    <row r="27" spans="1:16" hidden="1">
      <c r="A27">
        <v>1110101</v>
      </c>
      <c r="B27" s="4" t="s">
        <v>16</v>
      </c>
      <c r="C27">
        <v>13523.95</v>
      </c>
      <c r="D27" t="s">
        <v>1212</v>
      </c>
      <c r="E27" t="s">
        <v>1212</v>
      </c>
      <c r="F27">
        <v>413614496</v>
      </c>
      <c r="H27" s="4" t="s">
        <v>1210</v>
      </c>
      <c r="I27">
        <v>1110112</v>
      </c>
      <c r="J27" s="4" t="s">
        <v>1151</v>
      </c>
      <c r="K27">
        <v>25001542</v>
      </c>
      <c r="L27" s="4" t="s">
        <v>22</v>
      </c>
      <c r="M27" s="5">
        <v>40071.24</v>
      </c>
      <c r="N27" t="s">
        <v>1182</v>
      </c>
      <c r="P27" t="s">
        <v>23</v>
      </c>
    </row>
    <row r="28" spans="1:16">
      <c r="A28">
        <v>1110101</v>
      </c>
      <c r="B28" s="4" t="s">
        <v>16</v>
      </c>
      <c r="C28">
        <v>13523.95</v>
      </c>
      <c r="D28" t="s">
        <v>1213</v>
      </c>
      <c r="E28" t="s">
        <v>1213</v>
      </c>
      <c r="F28" t="s">
        <v>1214</v>
      </c>
      <c r="H28" s="4" t="s">
        <v>101</v>
      </c>
      <c r="I28">
        <v>2111111</v>
      </c>
      <c r="J28" t="s">
        <v>75</v>
      </c>
      <c r="K28">
        <v>25001560</v>
      </c>
      <c r="L28" s="4" t="s">
        <v>47</v>
      </c>
      <c r="M28" t="s">
        <v>1182</v>
      </c>
      <c r="N28" s="5">
        <v>1202.98</v>
      </c>
      <c r="O28" t="s">
        <v>1183</v>
      </c>
      <c r="P28" t="s">
        <v>23</v>
      </c>
    </row>
    <row r="29" spans="1:16" hidden="1">
      <c r="A29">
        <v>1110101</v>
      </c>
      <c r="B29" s="4" t="s">
        <v>16</v>
      </c>
      <c r="C29">
        <v>13523.95</v>
      </c>
      <c r="D29" t="s">
        <v>1215</v>
      </c>
      <c r="E29" t="s">
        <v>1215</v>
      </c>
      <c r="H29" s="4" t="s">
        <v>1216</v>
      </c>
      <c r="I29">
        <v>815100</v>
      </c>
      <c r="J29" s="4" t="s">
        <v>198</v>
      </c>
      <c r="K29">
        <v>25001540</v>
      </c>
      <c r="L29" s="4" t="s">
        <v>22</v>
      </c>
      <c r="M29" t="s">
        <v>1182</v>
      </c>
      <c r="N29">
        <v>84.12</v>
      </c>
      <c r="O29" t="s">
        <v>1217</v>
      </c>
      <c r="P29" t="s">
        <v>23</v>
      </c>
    </row>
    <row r="30" spans="1:16" hidden="1">
      <c r="A30">
        <v>1110101</v>
      </c>
      <c r="B30" s="4" t="s">
        <v>16</v>
      </c>
      <c r="C30">
        <v>13523.95</v>
      </c>
      <c r="D30" t="s">
        <v>1215</v>
      </c>
      <c r="E30" t="s">
        <v>1215</v>
      </c>
      <c r="F30">
        <v>6635544</v>
      </c>
      <c r="H30" s="4" t="s">
        <v>1218</v>
      </c>
      <c r="I30">
        <v>2122100</v>
      </c>
      <c r="J30" s="4" t="s">
        <v>35</v>
      </c>
      <c r="K30">
        <v>25001544</v>
      </c>
      <c r="L30" s="4" t="s">
        <v>22</v>
      </c>
      <c r="M30" t="s">
        <v>1182</v>
      </c>
      <c r="N30" s="5">
        <v>65820.259999999995</v>
      </c>
      <c r="O30" t="s">
        <v>1187</v>
      </c>
      <c r="P30" t="s">
        <v>23</v>
      </c>
    </row>
    <row r="31" spans="1:16">
      <c r="A31">
        <v>1110101</v>
      </c>
      <c r="B31" s="4" t="s">
        <v>16</v>
      </c>
      <c r="C31">
        <v>13523.95</v>
      </c>
      <c r="D31" t="s">
        <v>1215</v>
      </c>
      <c r="E31" t="s">
        <v>1215</v>
      </c>
      <c r="F31" t="s">
        <v>1219</v>
      </c>
      <c r="H31" s="4" t="s">
        <v>43</v>
      </c>
      <c r="I31">
        <v>2112796</v>
      </c>
      <c r="J31" s="4" t="s">
        <v>1220</v>
      </c>
      <c r="K31">
        <v>25001546</v>
      </c>
      <c r="L31" s="4" t="s">
        <v>47</v>
      </c>
      <c r="M31" t="s">
        <v>1182</v>
      </c>
      <c r="N31">
        <v>491.6</v>
      </c>
      <c r="O31" t="s">
        <v>1183</v>
      </c>
      <c r="P31" t="s">
        <v>23</v>
      </c>
    </row>
    <row r="32" spans="1:16">
      <c r="A32">
        <v>1110101</v>
      </c>
      <c r="B32" s="4" t="s">
        <v>16</v>
      </c>
      <c r="C32">
        <v>13523.95</v>
      </c>
      <c r="D32" t="s">
        <v>1215</v>
      </c>
      <c r="E32" t="s">
        <v>1215</v>
      </c>
      <c r="F32" t="s">
        <v>1221</v>
      </c>
      <c r="H32" s="4" t="s">
        <v>43</v>
      </c>
      <c r="I32">
        <v>2112790</v>
      </c>
      <c r="J32" s="4" t="s">
        <v>1098</v>
      </c>
      <c r="K32">
        <v>25001547</v>
      </c>
      <c r="L32" s="4" t="s">
        <v>47</v>
      </c>
      <c r="M32" t="s">
        <v>1182</v>
      </c>
      <c r="N32" s="5">
        <v>7012</v>
      </c>
      <c r="O32" t="s">
        <v>1183</v>
      </c>
      <c r="P32" t="s">
        <v>23</v>
      </c>
    </row>
    <row r="33" spans="1:16">
      <c r="A33">
        <v>1110101</v>
      </c>
      <c r="B33" s="4" t="s">
        <v>16</v>
      </c>
      <c r="C33">
        <v>13523.95</v>
      </c>
      <c r="D33" t="s">
        <v>1215</v>
      </c>
      <c r="E33" t="s">
        <v>1215</v>
      </c>
      <c r="F33" t="s">
        <v>1222</v>
      </c>
      <c r="H33" s="4" t="s">
        <v>43</v>
      </c>
      <c r="I33">
        <v>2112298</v>
      </c>
      <c r="J33" s="4" t="s">
        <v>1117</v>
      </c>
      <c r="K33">
        <v>25001548</v>
      </c>
      <c r="L33" s="4" t="s">
        <v>47</v>
      </c>
      <c r="M33" t="s">
        <v>1182</v>
      </c>
      <c r="N33" s="5">
        <v>4780.91</v>
      </c>
      <c r="O33" t="s">
        <v>1183</v>
      </c>
      <c r="P33" t="s">
        <v>23</v>
      </c>
    </row>
    <row r="34" spans="1:16">
      <c r="A34">
        <v>1110101</v>
      </c>
      <c r="B34" s="4" t="s">
        <v>16</v>
      </c>
      <c r="C34">
        <v>13523.95</v>
      </c>
      <c r="D34" t="s">
        <v>1215</v>
      </c>
      <c r="E34" t="s">
        <v>1215</v>
      </c>
      <c r="F34" t="s">
        <v>1223</v>
      </c>
      <c r="H34" s="4" t="s">
        <v>43</v>
      </c>
      <c r="I34">
        <v>2111113</v>
      </c>
      <c r="J34" s="4" t="s">
        <v>1224</v>
      </c>
      <c r="K34">
        <v>25001549</v>
      </c>
      <c r="L34" s="4" t="s">
        <v>47</v>
      </c>
      <c r="M34" t="s">
        <v>1182</v>
      </c>
      <c r="N34" s="5">
        <v>2548.2199999999998</v>
      </c>
      <c r="O34" t="s">
        <v>1183</v>
      </c>
      <c r="P34" t="s">
        <v>23</v>
      </c>
    </row>
    <row r="35" spans="1:16">
      <c r="A35">
        <v>1110101</v>
      </c>
      <c r="B35" s="4" t="s">
        <v>16</v>
      </c>
      <c r="C35">
        <v>13523.95</v>
      </c>
      <c r="D35" t="s">
        <v>1215</v>
      </c>
      <c r="E35" t="s">
        <v>1215</v>
      </c>
      <c r="F35" t="s">
        <v>1225</v>
      </c>
      <c r="H35" s="4" t="s">
        <v>43</v>
      </c>
      <c r="I35">
        <v>2111113</v>
      </c>
      <c r="J35" s="4" t="s">
        <v>1224</v>
      </c>
      <c r="K35">
        <v>25001550</v>
      </c>
      <c r="L35" s="4" t="s">
        <v>47</v>
      </c>
      <c r="M35" t="s">
        <v>1182</v>
      </c>
      <c r="N35" s="5">
        <v>1762.46</v>
      </c>
      <c r="O35" t="s">
        <v>1183</v>
      </c>
      <c r="P35" t="s">
        <v>23</v>
      </c>
    </row>
    <row r="36" spans="1:16">
      <c r="A36">
        <v>1110101</v>
      </c>
      <c r="B36" s="4" t="s">
        <v>16</v>
      </c>
      <c r="C36">
        <v>13523.95</v>
      </c>
      <c r="D36" t="s">
        <v>1215</v>
      </c>
      <c r="E36" t="s">
        <v>1215</v>
      </c>
      <c r="F36" t="s">
        <v>1226</v>
      </c>
      <c r="H36" s="4" t="s">
        <v>43</v>
      </c>
      <c r="I36">
        <v>2111286</v>
      </c>
      <c r="J36" t="s">
        <v>94</v>
      </c>
      <c r="K36">
        <v>25001551</v>
      </c>
      <c r="L36" s="4" t="s">
        <v>47</v>
      </c>
      <c r="M36" t="s">
        <v>1182</v>
      </c>
      <c r="N36" s="5">
        <v>1459.78</v>
      </c>
      <c r="O36" t="s">
        <v>1183</v>
      </c>
      <c r="P36" t="s">
        <v>23</v>
      </c>
    </row>
    <row r="37" spans="1:16">
      <c r="A37">
        <v>1110101</v>
      </c>
      <c r="B37" s="4" t="s">
        <v>16</v>
      </c>
      <c r="C37">
        <v>13523.95</v>
      </c>
      <c r="D37" t="s">
        <v>1215</v>
      </c>
      <c r="E37" t="s">
        <v>1215</v>
      </c>
      <c r="F37" t="s">
        <v>1227</v>
      </c>
      <c r="H37" s="4" t="s">
        <v>43</v>
      </c>
      <c r="I37">
        <v>2111286</v>
      </c>
      <c r="J37" t="s">
        <v>94</v>
      </c>
      <c r="K37">
        <v>25001552</v>
      </c>
      <c r="L37" s="4" t="s">
        <v>47</v>
      </c>
      <c r="M37" t="s">
        <v>1182</v>
      </c>
      <c r="N37" s="5">
        <v>1129.6500000000001</v>
      </c>
      <c r="O37" t="s">
        <v>1183</v>
      </c>
      <c r="P37" t="s">
        <v>23</v>
      </c>
    </row>
    <row r="38" spans="1:16">
      <c r="A38">
        <v>1110101</v>
      </c>
      <c r="B38" s="4" t="s">
        <v>16</v>
      </c>
      <c r="C38">
        <v>13523.95</v>
      </c>
      <c r="D38" t="s">
        <v>1215</v>
      </c>
      <c r="E38" t="s">
        <v>1215</v>
      </c>
      <c r="F38" t="s">
        <v>1228</v>
      </c>
      <c r="H38" s="4" t="s">
        <v>43</v>
      </c>
      <c r="I38">
        <v>2111286</v>
      </c>
      <c r="J38" t="s">
        <v>94</v>
      </c>
      <c r="K38">
        <v>25001553</v>
      </c>
      <c r="L38" s="4" t="s">
        <v>47</v>
      </c>
      <c r="M38" t="s">
        <v>1182</v>
      </c>
      <c r="N38">
        <v>590.64</v>
      </c>
      <c r="O38" t="s">
        <v>1183</v>
      </c>
      <c r="P38" t="s">
        <v>23</v>
      </c>
    </row>
    <row r="39" spans="1:16">
      <c r="A39">
        <v>1110101</v>
      </c>
      <c r="B39" s="4" t="s">
        <v>16</v>
      </c>
      <c r="C39">
        <v>13523.95</v>
      </c>
      <c r="D39" t="s">
        <v>1215</v>
      </c>
      <c r="E39" t="s">
        <v>1215</v>
      </c>
      <c r="F39" t="s">
        <v>1229</v>
      </c>
      <c r="H39" s="4" t="s">
        <v>43</v>
      </c>
      <c r="I39">
        <v>2112295</v>
      </c>
      <c r="J39" s="4" t="s">
        <v>376</v>
      </c>
      <c r="K39">
        <v>25001554</v>
      </c>
      <c r="L39" s="4" t="s">
        <v>47</v>
      </c>
      <c r="M39" t="s">
        <v>1182</v>
      </c>
      <c r="N39" s="5">
        <v>1175.75</v>
      </c>
      <c r="O39" t="s">
        <v>1183</v>
      </c>
      <c r="P39" t="s">
        <v>23</v>
      </c>
    </row>
    <row r="40" spans="1:16">
      <c r="A40">
        <v>1110101</v>
      </c>
      <c r="B40" s="4" t="s">
        <v>16</v>
      </c>
      <c r="C40">
        <v>13523.95</v>
      </c>
      <c r="D40" t="s">
        <v>1215</v>
      </c>
      <c r="E40" t="s">
        <v>1215</v>
      </c>
      <c r="F40" t="s">
        <v>1230</v>
      </c>
      <c r="H40" s="4" t="s">
        <v>43</v>
      </c>
      <c r="I40">
        <v>2111175</v>
      </c>
      <c r="J40" t="s">
        <v>151</v>
      </c>
      <c r="K40">
        <v>25001555</v>
      </c>
      <c r="L40" s="4" t="s">
        <v>47</v>
      </c>
      <c r="M40" t="s">
        <v>1182</v>
      </c>
      <c r="N40">
        <v>174.39</v>
      </c>
      <c r="O40" t="s">
        <v>1183</v>
      </c>
      <c r="P40" t="s">
        <v>23</v>
      </c>
    </row>
    <row r="41" spans="1:16">
      <c r="A41">
        <v>1110102</v>
      </c>
      <c r="B41" s="4" t="s">
        <v>194</v>
      </c>
      <c r="C41">
        <v>190419.14</v>
      </c>
      <c r="D41" s="1">
        <v>45755</v>
      </c>
      <c r="E41" s="1">
        <v>45755</v>
      </c>
      <c r="F41">
        <v>6884</v>
      </c>
      <c r="H41" s="4" t="s">
        <v>722</v>
      </c>
      <c r="I41">
        <v>2123112</v>
      </c>
      <c r="J41" s="4" t="s">
        <v>728</v>
      </c>
      <c r="K41">
        <v>25001430</v>
      </c>
      <c r="L41" s="4" t="s">
        <v>22</v>
      </c>
      <c r="M41" t="s">
        <v>1182</v>
      </c>
      <c r="N41" s="5">
        <v>7531.38</v>
      </c>
      <c r="O41" t="s">
        <v>1183</v>
      </c>
      <c r="P41" t="s">
        <v>23</v>
      </c>
    </row>
    <row r="42" spans="1:16" hidden="1">
      <c r="A42">
        <v>1110102</v>
      </c>
      <c r="B42" s="4" t="s">
        <v>194</v>
      </c>
      <c r="C42">
        <v>190419.14</v>
      </c>
      <c r="D42" t="s">
        <v>1189</v>
      </c>
      <c r="E42" t="s">
        <v>1189</v>
      </c>
      <c r="F42">
        <v>13785</v>
      </c>
      <c r="H42" s="4" t="s">
        <v>1231</v>
      </c>
      <c r="I42">
        <v>1110112</v>
      </c>
      <c r="J42" s="4" t="s">
        <v>1151</v>
      </c>
      <c r="K42">
        <v>25001511</v>
      </c>
      <c r="L42" s="4" t="s">
        <v>22</v>
      </c>
      <c r="M42" t="s">
        <v>1182</v>
      </c>
      <c r="N42" s="5">
        <v>60000</v>
      </c>
      <c r="P42" t="s">
        <v>23</v>
      </c>
    </row>
    <row r="43" spans="1:16">
      <c r="A43">
        <v>1110102</v>
      </c>
      <c r="B43" s="4" t="s">
        <v>194</v>
      </c>
      <c r="C43">
        <v>190419.14</v>
      </c>
      <c r="D43" t="s">
        <v>1191</v>
      </c>
      <c r="E43" t="s">
        <v>1191</v>
      </c>
      <c r="F43" t="s">
        <v>1232</v>
      </c>
      <c r="H43" s="4" t="s">
        <v>43</v>
      </c>
      <c r="I43">
        <v>2112727</v>
      </c>
      <c r="J43" t="s">
        <v>1233</v>
      </c>
      <c r="K43">
        <v>25001507</v>
      </c>
      <c r="L43" s="4" t="s">
        <v>47</v>
      </c>
      <c r="M43" t="s">
        <v>1182</v>
      </c>
      <c r="N43">
        <v>590</v>
      </c>
      <c r="O43" t="s">
        <v>1183</v>
      </c>
      <c r="P43" t="s">
        <v>23</v>
      </c>
    </row>
    <row r="44" spans="1:16" hidden="1">
      <c r="A44">
        <v>1110102</v>
      </c>
      <c r="B44" s="4" t="s">
        <v>194</v>
      </c>
      <c r="C44">
        <v>190419.14</v>
      </c>
      <c r="D44" t="s">
        <v>1191</v>
      </c>
      <c r="E44" t="s">
        <v>1191</v>
      </c>
      <c r="F44">
        <v>7604</v>
      </c>
      <c r="H44" t="s">
        <v>1234</v>
      </c>
      <c r="I44">
        <v>2151104</v>
      </c>
      <c r="J44" s="4" t="s">
        <v>1235</v>
      </c>
      <c r="K44">
        <v>25001512</v>
      </c>
      <c r="L44" s="4" t="s">
        <v>22</v>
      </c>
      <c r="M44" t="s">
        <v>1182</v>
      </c>
      <c r="N44">
        <v>138.91999999999999</v>
      </c>
      <c r="P44" t="s">
        <v>23</v>
      </c>
    </row>
    <row r="45" spans="1:16">
      <c r="A45">
        <v>1110102</v>
      </c>
      <c r="B45" s="4" t="s">
        <v>194</v>
      </c>
      <c r="C45">
        <v>190419.14</v>
      </c>
      <c r="D45" t="s">
        <v>1207</v>
      </c>
      <c r="E45" t="s">
        <v>1207</v>
      </c>
      <c r="F45">
        <v>7604</v>
      </c>
      <c r="H45" s="4" t="s">
        <v>722</v>
      </c>
      <c r="I45">
        <v>2123121</v>
      </c>
      <c r="J45" s="4" t="s">
        <v>768</v>
      </c>
      <c r="K45">
        <v>25001524</v>
      </c>
      <c r="L45" s="4" t="s">
        <v>22</v>
      </c>
      <c r="M45" t="s">
        <v>1182</v>
      </c>
      <c r="N45">
        <v>371.68</v>
      </c>
      <c r="O45" t="s">
        <v>1183</v>
      </c>
      <c r="P45" t="s">
        <v>23</v>
      </c>
    </row>
    <row r="46" spans="1:16" hidden="1">
      <c r="A46">
        <v>1110102</v>
      </c>
      <c r="B46" s="4" t="s">
        <v>194</v>
      </c>
      <c r="C46">
        <v>190419.14</v>
      </c>
      <c r="D46" t="s">
        <v>1209</v>
      </c>
      <c r="E46" t="s">
        <v>1209</v>
      </c>
      <c r="F46">
        <v>10026</v>
      </c>
      <c r="H46" t="s">
        <v>1211</v>
      </c>
      <c r="I46">
        <v>1110101</v>
      </c>
      <c r="J46" s="4" t="s">
        <v>16</v>
      </c>
      <c r="K46">
        <v>25001545</v>
      </c>
      <c r="L46" s="4" t="s">
        <v>41</v>
      </c>
      <c r="M46" t="s">
        <v>1182</v>
      </c>
      <c r="N46" s="5">
        <v>9000</v>
      </c>
      <c r="P46" t="s">
        <v>23</v>
      </c>
    </row>
    <row r="47" spans="1:16" hidden="1">
      <c r="A47">
        <v>1110102</v>
      </c>
      <c r="B47" s="4" t="s">
        <v>194</v>
      </c>
      <c r="C47">
        <v>190419.14</v>
      </c>
      <c r="D47" t="s">
        <v>1209</v>
      </c>
      <c r="E47" t="s">
        <v>1209</v>
      </c>
      <c r="H47" s="4" t="s">
        <v>1236</v>
      </c>
      <c r="I47">
        <v>1110112</v>
      </c>
      <c r="J47" s="4" t="s">
        <v>1151</v>
      </c>
      <c r="K47">
        <v>25001558</v>
      </c>
      <c r="L47" s="4" t="s">
        <v>41</v>
      </c>
      <c r="M47" t="s">
        <v>1182</v>
      </c>
      <c r="N47" s="5">
        <v>110000</v>
      </c>
      <c r="P47" t="s">
        <v>23</v>
      </c>
    </row>
    <row r="48" spans="1:16" hidden="1">
      <c r="A48">
        <v>1110102</v>
      </c>
      <c r="B48" s="4" t="s">
        <v>194</v>
      </c>
      <c r="C48">
        <v>190419.14</v>
      </c>
      <c r="D48" t="s">
        <v>1209</v>
      </c>
      <c r="E48" t="s">
        <v>1209</v>
      </c>
      <c r="H48" s="4" t="s">
        <v>1236</v>
      </c>
      <c r="I48">
        <v>1110112</v>
      </c>
      <c r="J48" s="4" t="s">
        <v>1151</v>
      </c>
      <c r="K48">
        <v>25001559</v>
      </c>
      <c r="L48" s="4" t="s">
        <v>41</v>
      </c>
      <c r="M48" t="s">
        <v>1182</v>
      </c>
      <c r="N48" s="5">
        <v>40000</v>
      </c>
      <c r="P48" t="s">
        <v>23</v>
      </c>
    </row>
    <row r="49" spans="1:16" hidden="1">
      <c r="A49">
        <v>1110102</v>
      </c>
      <c r="B49" s="4" t="s">
        <v>194</v>
      </c>
      <c r="C49">
        <v>190419.14</v>
      </c>
      <c r="D49" t="s">
        <v>1209</v>
      </c>
      <c r="E49" t="s">
        <v>1209</v>
      </c>
      <c r="H49" t="s">
        <v>1237</v>
      </c>
      <c r="I49">
        <v>1110106</v>
      </c>
      <c r="J49" s="4" t="s">
        <v>773</v>
      </c>
      <c r="K49">
        <v>25001561</v>
      </c>
      <c r="L49" s="4" t="s">
        <v>41</v>
      </c>
      <c r="M49" s="5">
        <v>200000</v>
      </c>
      <c r="N49" t="s">
        <v>1182</v>
      </c>
      <c r="P49" t="s">
        <v>23</v>
      </c>
    </row>
    <row r="50" spans="1:16" hidden="1">
      <c r="A50">
        <v>1110102</v>
      </c>
      <c r="B50" s="4" t="s">
        <v>194</v>
      </c>
      <c r="C50">
        <v>190419.14</v>
      </c>
      <c r="D50" t="s">
        <v>1209</v>
      </c>
      <c r="E50" t="s">
        <v>1209</v>
      </c>
      <c r="H50" t="s">
        <v>1237</v>
      </c>
      <c r="I50">
        <v>815300</v>
      </c>
      <c r="J50" s="4" t="s">
        <v>403</v>
      </c>
      <c r="K50">
        <v>25001562</v>
      </c>
      <c r="L50" s="4" t="s">
        <v>22</v>
      </c>
      <c r="M50" t="s">
        <v>1182</v>
      </c>
      <c r="N50">
        <v>27.5</v>
      </c>
      <c r="O50" t="s">
        <v>1238</v>
      </c>
      <c r="P50" t="s">
        <v>23</v>
      </c>
    </row>
    <row r="51" spans="1:16">
      <c r="A51">
        <v>1110102</v>
      </c>
      <c r="B51" s="4" t="s">
        <v>194</v>
      </c>
      <c r="C51">
        <v>190419.14</v>
      </c>
      <c r="D51" t="s">
        <v>1215</v>
      </c>
      <c r="E51" t="s">
        <v>1215</v>
      </c>
      <c r="F51" t="s">
        <v>1239</v>
      </c>
      <c r="H51" s="4" t="s">
        <v>43</v>
      </c>
      <c r="I51">
        <v>2112509</v>
      </c>
      <c r="J51" t="s">
        <v>750</v>
      </c>
      <c r="K51">
        <v>25001556</v>
      </c>
      <c r="L51" s="4" t="s">
        <v>47</v>
      </c>
      <c r="M51" t="s">
        <v>1182</v>
      </c>
      <c r="N51" s="5">
        <v>6069.4</v>
      </c>
      <c r="O51" t="s">
        <v>1183</v>
      </c>
      <c r="P51" t="s">
        <v>23</v>
      </c>
    </row>
    <row r="52" spans="1:16">
      <c r="A52">
        <v>1110102</v>
      </c>
      <c r="B52" s="4" t="s">
        <v>194</v>
      </c>
      <c r="C52">
        <v>190419.14</v>
      </c>
      <c r="D52" t="s">
        <v>1215</v>
      </c>
      <c r="E52" t="s">
        <v>1215</v>
      </c>
      <c r="F52" t="s">
        <v>1240</v>
      </c>
      <c r="H52" s="4" t="s">
        <v>43</v>
      </c>
      <c r="I52">
        <v>2111150</v>
      </c>
      <c r="J52" t="s">
        <v>781</v>
      </c>
      <c r="K52">
        <v>25001557</v>
      </c>
      <c r="L52" s="4" t="s">
        <v>47</v>
      </c>
      <c r="M52" t="s">
        <v>1182</v>
      </c>
      <c r="N52" s="5">
        <v>1724.08</v>
      </c>
      <c r="O52" t="s">
        <v>1183</v>
      </c>
      <c r="P52" t="s">
        <v>23</v>
      </c>
    </row>
    <row r="53" spans="1:16">
      <c r="A53">
        <v>1110103</v>
      </c>
      <c r="B53" s="4" t="s">
        <v>39</v>
      </c>
      <c r="C53">
        <v>-6114.87</v>
      </c>
      <c r="D53" t="s">
        <v>1241</v>
      </c>
      <c r="E53" t="s">
        <v>1241</v>
      </c>
      <c r="F53">
        <v>7604</v>
      </c>
      <c r="H53" s="4" t="s">
        <v>722</v>
      </c>
      <c r="I53">
        <v>2123125</v>
      </c>
      <c r="J53" s="4" t="s">
        <v>1242</v>
      </c>
      <c r="K53">
        <v>25001568</v>
      </c>
      <c r="L53" s="4" t="s">
        <v>22</v>
      </c>
      <c r="M53" t="s">
        <v>1182</v>
      </c>
      <c r="N53">
        <v>321.62</v>
      </c>
      <c r="O53" t="s">
        <v>1183</v>
      </c>
      <c r="P53" t="s">
        <v>23</v>
      </c>
    </row>
    <row r="54" spans="1:16">
      <c r="A54">
        <v>1110103</v>
      </c>
      <c r="B54" s="4" t="s">
        <v>39</v>
      </c>
      <c r="C54">
        <v>-6114.87</v>
      </c>
      <c r="D54" t="s">
        <v>1205</v>
      </c>
      <c r="E54" t="s">
        <v>1205</v>
      </c>
      <c r="F54">
        <v>7604</v>
      </c>
      <c r="H54" s="4" t="s">
        <v>722</v>
      </c>
      <c r="I54">
        <v>2123125</v>
      </c>
      <c r="J54" s="4" t="s">
        <v>1242</v>
      </c>
      <c r="K54">
        <v>25001569</v>
      </c>
      <c r="L54" s="4" t="s">
        <v>22</v>
      </c>
      <c r="M54" t="s">
        <v>1182</v>
      </c>
      <c r="N54">
        <v>508.52</v>
      </c>
      <c r="O54" t="s">
        <v>1183</v>
      </c>
      <c r="P54" t="s">
        <v>23</v>
      </c>
    </row>
    <row r="55" spans="1:16" hidden="1">
      <c r="A55">
        <v>1110103</v>
      </c>
      <c r="B55" s="4" t="s">
        <v>39</v>
      </c>
      <c r="C55">
        <v>-6114.87</v>
      </c>
      <c r="D55" t="s">
        <v>1212</v>
      </c>
      <c r="E55" t="s">
        <v>1212</v>
      </c>
      <c r="H55" s="4" t="s">
        <v>971</v>
      </c>
      <c r="I55">
        <v>815100</v>
      </c>
      <c r="J55" s="4" t="s">
        <v>198</v>
      </c>
      <c r="K55">
        <v>25001566</v>
      </c>
      <c r="L55" s="4" t="s">
        <v>22</v>
      </c>
      <c r="M55" t="s">
        <v>1182</v>
      </c>
      <c r="N55">
        <v>3.49</v>
      </c>
      <c r="O55" t="s">
        <v>1238</v>
      </c>
      <c r="P55" t="s">
        <v>23</v>
      </c>
    </row>
    <row r="56" spans="1:16">
      <c r="A56">
        <v>1110105</v>
      </c>
      <c r="B56" s="4" t="s">
        <v>546</v>
      </c>
      <c r="C56">
        <v>-52.06</v>
      </c>
      <c r="D56" t="s">
        <v>1205</v>
      </c>
      <c r="E56" t="s">
        <v>1205</v>
      </c>
      <c r="F56" t="s">
        <v>1243</v>
      </c>
      <c r="H56" s="4" t="s">
        <v>1244</v>
      </c>
      <c r="I56">
        <v>2112103</v>
      </c>
      <c r="J56" t="s">
        <v>985</v>
      </c>
      <c r="K56">
        <v>25001525</v>
      </c>
      <c r="L56" s="4" t="s">
        <v>47</v>
      </c>
      <c r="M56" t="s">
        <v>1182</v>
      </c>
      <c r="N56" s="5">
        <v>7655.38</v>
      </c>
      <c r="O56" t="s">
        <v>1183</v>
      </c>
      <c r="P56" t="s">
        <v>23</v>
      </c>
    </row>
    <row r="57" spans="1:16" hidden="1">
      <c r="A57">
        <v>1110105</v>
      </c>
      <c r="B57" s="4" t="s">
        <v>546</v>
      </c>
      <c r="C57">
        <v>-52.06</v>
      </c>
      <c r="D57" t="s">
        <v>1205</v>
      </c>
      <c r="E57" t="s">
        <v>1205</v>
      </c>
      <c r="F57">
        <v>157899</v>
      </c>
      <c r="H57" s="4" t="s">
        <v>647</v>
      </c>
      <c r="I57">
        <v>1110101</v>
      </c>
      <c r="J57" s="4" t="s">
        <v>16</v>
      </c>
      <c r="K57">
        <v>25001526</v>
      </c>
      <c r="L57" s="4" t="s">
        <v>41</v>
      </c>
      <c r="M57" s="5">
        <v>7690.13</v>
      </c>
      <c r="N57" t="s">
        <v>1182</v>
      </c>
      <c r="P57" t="s">
        <v>23</v>
      </c>
    </row>
    <row r="58" spans="1:16">
      <c r="A58">
        <v>1110106</v>
      </c>
      <c r="B58" s="4" t="s">
        <v>773</v>
      </c>
      <c r="C58">
        <v>460497.11</v>
      </c>
      <c r="D58" s="1">
        <v>45846</v>
      </c>
      <c r="E58" s="1">
        <v>45846</v>
      </c>
      <c r="H58" t="s">
        <v>974</v>
      </c>
      <c r="I58">
        <v>2112788</v>
      </c>
      <c r="J58" t="s">
        <v>1245</v>
      </c>
      <c r="K58">
        <v>25001565</v>
      </c>
      <c r="L58" s="4" t="s">
        <v>22</v>
      </c>
      <c r="M58" t="s">
        <v>1182</v>
      </c>
      <c r="N58" s="5">
        <v>4900</v>
      </c>
      <c r="O58" t="s">
        <v>1183</v>
      </c>
      <c r="P58" t="s">
        <v>23</v>
      </c>
    </row>
    <row r="59" spans="1:16" hidden="1">
      <c r="A59">
        <v>1110106</v>
      </c>
      <c r="B59" s="4" t="s">
        <v>773</v>
      </c>
      <c r="C59">
        <v>460497.11</v>
      </c>
      <c r="D59" t="s">
        <v>1209</v>
      </c>
      <c r="E59" t="s">
        <v>1209</v>
      </c>
      <c r="H59" t="s">
        <v>1237</v>
      </c>
      <c r="I59">
        <v>1110102</v>
      </c>
      <c r="J59" s="4" t="s">
        <v>194</v>
      </c>
      <c r="K59">
        <v>25001561</v>
      </c>
      <c r="L59" s="4" t="s">
        <v>41</v>
      </c>
      <c r="M59" t="s">
        <v>1182</v>
      </c>
      <c r="N59" s="5">
        <v>200000</v>
      </c>
      <c r="P59" t="s">
        <v>23</v>
      </c>
    </row>
    <row r="60" spans="1:16" hidden="1">
      <c r="A60">
        <v>1110106</v>
      </c>
      <c r="B60" s="4" t="s">
        <v>773</v>
      </c>
      <c r="C60">
        <v>460497.11</v>
      </c>
      <c r="D60" t="s">
        <v>1212</v>
      </c>
      <c r="E60" t="s">
        <v>1212</v>
      </c>
      <c r="H60" t="s">
        <v>1004</v>
      </c>
      <c r="I60">
        <v>2151105</v>
      </c>
      <c r="J60" s="4" t="s">
        <v>1030</v>
      </c>
      <c r="K60">
        <v>25001564</v>
      </c>
      <c r="L60" s="4" t="s">
        <v>22</v>
      </c>
      <c r="M60" t="s">
        <v>1182</v>
      </c>
      <c r="N60" s="5">
        <v>30000</v>
      </c>
      <c r="P60" t="s">
        <v>23</v>
      </c>
    </row>
    <row r="61" spans="1:16">
      <c r="A61">
        <v>1110106</v>
      </c>
      <c r="B61" s="4" t="s">
        <v>773</v>
      </c>
      <c r="C61">
        <v>460497.11</v>
      </c>
      <c r="D61" t="s">
        <v>1246</v>
      </c>
      <c r="E61" t="s">
        <v>1246</v>
      </c>
      <c r="H61" t="s">
        <v>1247</v>
      </c>
      <c r="I61">
        <v>2112100</v>
      </c>
      <c r="J61" t="s">
        <v>846</v>
      </c>
      <c r="K61">
        <v>25001563</v>
      </c>
      <c r="L61" s="4" t="s">
        <v>22</v>
      </c>
      <c r="M61" t="s">
        <v>1182</v>
      </c>
      <c r="N61" s="5">
        <v>3280</v>
      </c>
      <c r="O61" t="s">
        <v>1183</v>
      </c>
      <c r="P61" t="s">
        <v>23</v>
      </c>
    </row>
    <row r="62" spans="1:16" hidden="1">
      <c r="A62">
        <v>1110110</v>
      </c>
      <c r="B62" s="4" t="s">
        <v>1073</v>
      </c>
      <c r="C62">
        <v>241.23</v>
      </c>
      <c r="M62" t="s">
        <v>1182</v>
      </c>
      <c r="N62" t="s">
        <v>1182</v>
      </c>
      <c r="P62" t="s">
        <v>23</v>
      </c>
    </row>
    <row r="63" spans="1:16" hidden="1">
      <c r="A63">
        <v>1110111</v>
      </c>
      <c r="B63" t="s">
        <v>1076</v>
      </c>
      <c r="C63">
        <v>900.96</v>
      </c>
      <c r="M63" t="s">
        <v>1182</v>
      </c>
      <c r="N63" t="s">
        <v>1182</v>
      </c>
      <c r="P63" t="s">
        <v>23</v>
      </c>
    </row>
    <row r="64" spans="1:16" hidden="1">
      <c r="A64">
        <v>1110112</v>
      </c>
      <c r="B64" s="4" t="s">
        <v>1151</v>
      </c>
      <c r="C64">
        <v>0</v>
      </c>
      <c r="D64" t="s">
        <v>1189</v>
      </c>
      <c r="E64" t="s">
        <v>1189</v>
      </c>
      <c r="F64">
        <v>4119336677</v>
      </c>
      <c r="H64" s="4" t="s">
        <v>1236</v>
      </c>
      <c r="I64">
        <v>1110101</v>
      </c>
      <c r="J64" s="4" t="s">
        <v>16</v>
      </c>
      <c r="K64">
        <v>25001510</v>
      </c>
      <c r="L64" s="4" t="s">
        <v>22</v>
      </c>
      <c r="M64" t="s">
        <v>1182</v>
      </c>
      <c r="N64" s="5">
        <v>59973.41</v>
      </c>
      <c r="P64" t="s">
        <v>23</v>
      </c>
    </row>
    <row r="65" spans="1:16" hidden="1">
      <c r="A65">
        <v>1110112</v>
      </c>
      <c r="B65" s="4" t="s">
        <v>1151</v>
      </c>
      <c r="C65">
        <v>0</v>
      </c>
      <c r="D65" t="s">
        <v>1189</v>
      </c>
      <c r="E65" t="s">
        <v>1189</v>
      </c>
      <c r="F65">
        <v>13785</v>
      </c>
      <c r="H65" s="4" t="s">
        <v>1236</v>
      </c>
      <c r="I65">
        <v>1110102</v>
      </c>
      <c r="J65" s="4" t="s">
        <v>194</v>
      </c>
      <c r="K65">
        <v>25001511</v>
      </c>
      <c r="L65" s="4" t="s">
        <v>22</v>
      </c>
      <c r="M65" s="5">
        <v>60000</v>
      </c>
      <c r="N65" t="s">
        <v>1182</v>
      </c>
      <c r="P65" t="s">
        <v>23</v>
      </c>
    </row>
    <row r="66" spans="1:16" hidden="1">
      <c r="A66">
        <v>1110112</v>
      </c>
      <c r="B66" s="4" t="s">
        <v>1151</v>
      </c>
      <c r="C66">
        <v>0</v>
      </c>
      <c r="D66" t="s">
        <v>1209</v>
      </c>
      <c r="E66" t="s">
        <v>1209</v>
      </c>
      <c r="F66">
        <v>413545065</v>
      </c>
      <c r="H66" s="4" t="s">
        <v>1210</v>
      </c>
      <c r="I66">
        <v>1110101</v>
      </c>
      <c r="J66" s="4" t="s">
        <v>16</v>
      </c>
      <c r="K66">
        <v>25001541</v>
      </c>
      <c r="L66" s="4" t="s">
        <v>22</v>
      </c>
      <c r="M66" t="s">
        <v>1182</v>
      </c>
      <c r="N66" s="5">
        <v>108998.83</v>
      </c>
      <c r="P66" t="s">
        <v>23</v>
      </c>
    </row>
    <row r="67" spans="1:16" hidden="1">
      <c r="A67">
        <v>1110112</v>
      </c>
      <c r="B67" s="4" t="s">
        <v>1151</v>
      </c>
      <c r="C67">
        <v>0</v>
      </c>
      <c r="D67" t="s">
        <v>1209</v>
      </c>
      <c r="E67" t="s">
        <v>1209</v>
      </c>
      <c r="H67" s="4" t="s">
        <v>1236</v>
      </c>
      <c r="I67">
        <v>1110102</v>
      </c>
      <c r="J67" s="4" t="s">
        <v>194</v>
      </c>
      <c r="K67">
        <v>25001558</v>
      </c>
      <c r="L67" s="4" t="s">
        <v>41</v>
      </c>
      <c r="M67" s="5">
        <v>110000</v>
      </c>
      <c r="N67" t="s">
        <v>1182</v>
      </c>
      <c r="P67" t="s">
        <v>23</v>
      </c>
    </row>
    <row r="68" spans="1:16" hidden="1">
      <c r="A68">
        <v>1110112</v>
      </c>
      <c r="B68" s="4" t="s">
        <v>1151</v>
      </c>
      <c r="C68">
        <v>0</v>
      </c>
      <c r="D68" t="s">
        <v>1209</v>
      </c>
      <c r="E68" t="s">
        <v>1209</v>
      </c>
      <c r="H68" s="4" t="s">
        <v>1236</v>
      </c>
      <c r="I68">
        <v>1110102</v>
      </c>
      <c r="J68" s="4" t="s">
        <v>194</v>
      </c>
      <c r="K68">
        <v>25001559</v>
      </c>
      <c r="L68" s="4" t="s">
        <v>41</v>
      </c>
      <c r="M68" s="5">
        <v>40000</v>
      </c>
      <c r="N68" t="s">
        <v>1182</v>
      </c>
      <c r="P68" t="s">
        <v>23</v>
      </c>
    </row>
    <row r="69" spans="1:16" hidden="1">
      <c r="A69">
        <v>1110112</v>
      </c>
      <c r="B69" s="4" t="s">
        <v>1151</v>
      </c>
      <c r="C69">
        <v>0</v>
      </c>
      <c r="D69" t="s">
        <v>1212</v>
      </c>
      <c r="E69" t="s">
        <v>1212</v>
      </c>
      <c r="F69">
        <v>413614496</v>
      </c>
      <c r="H69" s="4" t="s">
        <v>1210</v>
      </c>
      <c r="I69">
        <v>1110101</v>
      </c>
      <c r="J69" s="4" t="s">
        <v>16</v>
      </c>
      <c r="K69">
        <v>25001542</v>
      </c>
      <c r="L69" s="4" t="s">
        <v>22</v>
      </c>
      <c r="M69" t="s">
        <v>1182</v>
      </c>
      <c r="N69" s="5">
        <v>40071.24</v>
      </c>
      <c r="P69" t="s">
        <v>23</v>
      </c>
    </row>
  </sheetData>
  <autoFilter ref="A1:P69" xr:uid="{E17D8908-3A63-4407-A2A5-CFE7702720CA}">
    <filterColumn colId="14">
      <filters>
        <filter val="ס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529B-B1F3-4D03-A94D-B5BAE1EF8B47}">
  <sheetPr filterMode="1"/>
  <dimension ref="A1:P43"/>
  <sheetViews>
    <sheetView workbookViewId="0">
      <selection activeCell="N3" sqref="N3:N36"/>
    </sheetView>
  </sheetViews>
  <sheetFormatPr defaultRowHeight="15"/>
  <cols>
    <col min="2" max="2" width="30.5703125" bestFit="1" customWidth="1"/>
    <col min="3" max="3" width="16.42578125" customWidth="1"/>
    <col min="4" max="4" width="18" bestFit="1" customWidth="1"/>
    <col min="5" max="5" width="16.42578125" customWidth="1"/>
    <col min="8" max="8" width="23.85546875" bestFit="1" customWidth="1"/>
    <col min="10" max="10" width="40.7109375" bestFit="1" customWidth="1"/>
    <col min="13" max="13" width="15.140625" style="3" customWidth="1"/>
    <col min="14" max="14" width="10.7109375" style="3" bestFit="1" customWidth="1"/>
    <col min="15" max="15" width="13" bestFit="1" customWidth="1"/>
  </cols>
  <sheetData>
    <row r="1" spans="1:16">
      <c r="A1" t="s">
        <v>1248</v>
      </c>
      <c r="B1" t="s">
        <v>1249</v>
      </c>
      <c r="C1" t="s">
        <v>1250</v>
      </c>
      <c r="D1" t="s">
        <v>1251</v>
      </c>
      <c r="E1" t="s">
        <v>1252</v>
      </c>
      <c r="F1" t="s">
        <v>1253</v>
      </c>
      <c r="G1" t="s">
        <v>1254</v>
      </c>
      <c r="H1" t="s">
        <v>1255</v>
      </c>
      <c r="I1" t="s">
        <v>1256</v>
      </c>
      <c r="J1" t="s">
        <v>1257</v>
      </c>
      <c r="K1" t="s">
        <v>1258</v>
      </c>
      <c r="L1" t="s">
        <v>1259</v>
      </c>
      <c r="M1" s="3" t="s">
        <v>1260</v>
      </c>
      <c r="N1" s="3" t="s">
        <v>1261</v>
      </c>
      <c r="P1" s="4" t="s">
        <v>14</v>
      </c>
    </row>
    <row r="2" spans="1:16" hidden="1">
      <c r="A2">
        <v>1110100</v>
      </c>
      <c r="B2" t="s">
        <v>1262</v>
      </c>
      <c r="C2">
        <v>40.340000000000003</v>
      </c>
      <c r="M2" s="3">
        <v>0</v>
      </c>
      <c r="N2" s="3">
        <v>0</v>
      </c>
      <c r="P2" t="s">
        <v>23</v>
      </c>
    </row>
    <row r="3" spans="1:16" hidden="1">
      <c r="A3">
        <v>1110101</v>
      </c>
      <c r="B3" t="s">
        <v>1263</v>
      </c>
      <c r="C3">
        <v>54492.639999999999</v>
      </c>
      <c r="D3" s="8">
        <v>45697</v>
      </c>
      <c r="E3" s="8">
        <v>45697</v>
      </c>
      <c r="F3">
        <v>8434</v>
      </c>
      <c r="H3" s="4" t="s">
        <v>18</v>
      </c>
      <c r="I3">
        <v>2123126</v>
      </c>
      <c r="J3" s="6" t="s">
        <v>1264</v>
      </c>
      <c r="K3">
        <v>25001591</v>
      </c>
      <c r="L3" t="s">
        <v>1265</v>
      </c>
      <c r="M3" s="3">
        <v>0</v>
      </c>
      <c r="N3" s="3">
        <v>5.69</v>
      </c>
      <c r="O3" t="s">
        <v>1266</v>
      </c>
      <c r="P3" t="s">
        <v>23</v>
      </c>
    </row>
    <row r="4" spans="1:16" hidden="1">
      <c r="A4">
        <v>1110101</v>
      </c>
      <c r="B4" t="s">
        <v>1263</v>
      </c>
      <c r="C4">
        <v>54492.639999999999</v>
      </c>
      <c r="D4" s="8">
        <v>45697</v>
      </c>
      <c r="E4" s="8">
        <v>45697</v>
      </c>
      <c r="F4">
        <v>7604</v>
      </c>
      <c r="H4" s="4" t="s">
        <v>18</v>
      </c>
      <c r="I4">
        <v>2123120</v>
      </c>
      <c r="J4" s="6" t="s">
        <v>1267</v>
      </c>
      <c r="K4">
        <v>25001592</v>
      </c>
      <c r="L4" t="s">
        <v>1265</v>
      </c>
      <c r="M4" s="3">
        <v>0</v>
      </c>
      <c r="N4" s="3">
        <v>557.44000000000005</v>
      </c>
      <c r="O4" t="s">
        <v>1266</v>
      </c>
      <c r="P4" t="s">
        <v>23</v>
      </c>
    </row>
    <row r="5" spans="1:16" hidden="1">
      <c r="A5">
        <v>1110101</v>
      </c>
      <c r="B5" t="s">
        <v>1263</v>
      </c>
      <c r="C5">
        <v>54492.639999999999</v>
      </c>
      <c r="D5" s="8">
        <v>45697</v>
      </c>
      <c r="E5" s="8">
        <v>45697</v>
      </c>
      <c r="F5">
        <v>6884</v>
      </c>
      <c r="H5" s="4" t="s">
        <v>18</v>
      </c>
      <c r="I5">
        <v>2123111</v>
      </c>
      <c r="J5" s="6" t="s">
        <v>1268</v>
      </c>
      <c r="K5">
        <v>25001594</v>
      </c>
      <c r="L5" t="s">
        <v>1265</v>
      </c>
      <c r="M5" s="3">
        <v>0</v>
      </c>
      <c r="N5" s="3">
        <v>6191.13</v>
      </c>
      <c r="O5" t="s">
        <v>1266</v>
      </c>
      <c r="P5" t="s">
        <v>23</v>
      </c>
    </row>
    <row r="6" spans="1:16" hidden="1">
      <c r="A6">
        <v>1110101</v>
      </c>
      <c r="B6" t="s">
        <v>1263</v>
      </c>
      <c r="C6">
        <v>54492.639999999999</v>
      </c>
      <c r="D6" s="8">
        <v>45847</v>
      </c>
      <c r="E6" s="8">
        <v>45847</v>
      </c>
      <c r="F6">
        <v>7604</v>
      </c>
      <c r="H6" s="4" t="s">
        <v>18</v>
      </c>
      <c r="I6">
        <v>2123120</v>
      </c>
      <c r="J6" s="6" t="s">
        <v>1267</v>
      </c>
      <c r="K6">
        <v>25001593</v>
      </c>
      <c r="L6" t="s">
        <v>1265</v>
      </c>
      <c r="M6" s="3">
        <v>0</v>
      </c>
      <c r="N6" s="3">
        <v>114.28</v>
      </c>
      <c r="O6" t="s">
        <v>1266</v>
      </c>
      <c r="P6" t="s">
        <v>23</v>
      </c>
    </row>
    <row r="7" spans="1:16" hidden="1">
      <c r="A7">
        <v>1110101</v>
      </c>
      <c r="B7" t="s">
        <v>1263</v>
      </c>
      <c r="C7">
        <v>54492.639999999999</v>
      </c>
      <c r="D7" s="8">
        <v>45939</v>
      </c>
      <c r="E7" s="8">
        <v>45939</v>
      </c>
      <c r="F7" t="s">
        <v>1269</v>
      </c>
      <c r="H7" s="4" t="s">
        <v>1270</v>
      </c>
      <c r="I7">
        <v>1141100</v>
      </c>
      <c r="J7" s="6" t="s">
        <v>1271</v>
      </c>
      <c r="K7">
        <v>25001601</v>
      </c>
      <c r="L7" t="s">
        <v>1272</v>
      </c>
      <c r="M7" s="3">
        <v>20.57</v>
      </c>
      <c r="N7" s="3">
        <v>0</v>
      </c>
      <c r="O7" t="s">
        <v>1273</v>
      </c>
      <c r="P7" t="s">
        <v>23</v>
      </c>
    </row>
    <row r="8" spans="1:16">
      <c r="A8">
        <v>1110101</v>
      </c>
      <c r="B8" t="s">
        <v>1263</v>
      </c>
      <c r="C8">
        <v>54492.639999999999</v>
      </c>
      <c r="D8" s="8">
        <v>45970</v>
      </c>
      <c r="E8" s="8">
        <v>45970</v>
      </c>
      <c r="F8">
        <v>88367305</v>
      </c>
      <c r="H8" s="4" t="s">
        <v>1274</v>
      </c>
      <c r="I8">
        <v>2121103</v>
      </c>
      <c r="J8" s="6" t="s">
        <v>1275</v>
      </c>
      <c r="K8">
        <v>25001606</v>
      </c>
      <c r="L8" t="s">
        <v>1265</v>
      </c>
      <c r="M8" s="3">
        <v>0</v>
      </c>
      <c r="N8" s="3">
        <v>24403.29</v>
      </c>
      <c r="O8" t="s">
        <v>1276</v>
      </c>
      <c r="P8" t="s">
        <v>23</v>
      </c>
    </row>
    <row r="9" spans="1:16">
      <c r="A9">
        <v>1110101</v>
      </c>
      <c r="B9" t="s">
        <v>1263</v>
      </c>
      <c r="C9">
        <v>54492.639999999999</v>
      </c>
      <c r="D9" s="9" t="s">
        <v>1277</v>
      </c>
      <c r="E9" s="9" t="s">
        <v>1277</v>
      </c>
      <c r="F9">
        <v>38286555</v>
      </c>
      <c r="H9" s="4" t="s">
        <v>1113</v>
      </c>
      <c r="I9">
        <v>2121100</v>
      </c>
      <c r="J9" s="6" t="s">
        <v>1278</v>
      </c>
      <c r="K9">
        <v>25001675</v>
      </c>
      <c r="L9" t="s">
        <v>1265</v>
      </c>
      <c r="M9" s="3">
        <v>0</v>
      </c>
      <c r="N9" s="3">
        <v>1096.08</v>
      </c>
      <c r="O9" t="s">
        <v>1276</v>
      </c>
      <c r="P9" t="s">
        <v>23</v>
      </c>
    </row>
    <row r="10" spans="1:16" hidden="1">
      <c r="A10">
        <v>1110101</v>
      </c>
      <c r="B10" t="s">
        <v>1263</v>
      </c>
      <c r="C10">
        <v>54492.639999999999</v>
      </c>
      <c r="D10" s="9" t="s">
        <v>1277</v>
      </c>
      <c r="E10" s="9" t="s">
        <v>1277</v>
      </c>
      <c r="F10" t="s">
        <v>1279</v>
      </c>
      <c r="H10" s="4" t="s">
        <v>101</v>
      </c>
      <c r="I10">
        <v>2111104</v>
      </c>
      <c r="J10" s="6" t="s">
        <v>1280</v>
      </c>
      <c r="K10">
        <v>25001676</v>
      </c>
      <c r="L10" t="s">
        <v>1281</v>
      </c>
      <c r="M10" s="3">
        <v>0</v>
      </c>
      <c r="N10" s="3">
        <v>4060.16</v>
      </c>
      <c r="O10" t="s">
        <v>1266</v>
      </c>
      <c r="P10" t="s">
        <v>23</v>
      </c>
    </row>
    <row r="11" spans="1:16" hidden="1">
      <c r="A11">
        <v>1110101</v>
      </c>
      <c r="B11" t="s">
        <v>1263</v>
      </c>
      <c r="C11">
        <v>54492.639999999999</v>
      </c>
      <c r="D11" s="9" t="s">
        <v>1282</v>
      </c>
      <c r="E11" s="9" t="s">
        <v>1282</v>
      </c>
      <c r="F11" t="s">
        <v>1283</v>
      </c>
      <c r="H11" s="4" t="s">
        <v>43</v>
      </c>
      <c r="I11">
        <v>2112670</v>
      </c>
      <c r="J11" s="6" t="s">
        <v>1284</v>
      </c>
      <c r="K11">
        <v>25001622</v>
      </c>
      <c r="L11" t="s">
        <v>1281</v>
      </c>
      <c r="M11" s="3">
        <v>0</v>
      </c>
      <c r="N11" s="3">
        <v>2329.63</v>
      </c>
      <c r="O11" t="s">
        <v>1266</v>
      </c>
      <c r="P11" t="s">
        <v>23</v>
      </c>
    </row>
    <row r="12" spans="1:16" hidden="1">
      <c r="A12">
        <v>1110101</v>
      </c>
      <c r="B12" t="s">
        <v>1263</v>
      </c>
      <c r="C12">
        <v>54492.639999999999</v>
      </c>
      <c r="D12" s="9" t="s">
        <v>1282</v>
      </c>
      <c r="E12" s="9" t="s">
        <v>1282</v>
      </c>
      <c r="F12" t="s">
        <v>1285</v>
      </c>
      <c r="H12" s="4" t="s">
        <v>43</v>
      </c>
      <c r="I12">
        <v>2112594</v>
      </c>
      <c r="J12" s="6" t="s">
        <v>1286</v>
      </c>
      <c r="K12">
        <v>25001623</v>
      </c>
      <c r="L12" t="s">
        <v>1281</v>
      </c>
      <c r="M12" s="3">
        <v>0</v>
      </c>
      <c r="N12" s="3">
        <v>1829.39</v>
      </c>
      <c r="O12" t="s">
        <v>1266</v>
      </c>
      <c r="P12" t="s">
        <v>23</v>
      </c>
    </row>
    <row r="13" spans="1:16" hidden="1">
      <c r="A13">
        <v>1110101</v>
      </c>
      <c r="B13" t="s">
        <v>1263</v>
      </c>
      <c r="C13">
        <v>54492.639999999999</v>
      </c>
      <c r="D13" s="9" t="s">
        <v>1282</v>
      </c>
      <c r="E13" s="9" t="s">
        <v>1282</v>
      </c>
      <c r="F13" t="s">
        <v>1287</v>
      </c>
      <c r="H13" s="4" t="s">
        <v>43</v>
      </c>
      <c r="I13">
        <v>2112566</v>
      </c>
      <c r="J13" s="6" t="s">
        <v>1288</v>
      </c>
      <c r="K13">
        <v>25001624</v>
      </c>
      <c r="L13" t="s">
        <v>1281</v>
      </c>
      <c r="M13" s="3">
        <v>0</v>
      </c>
      <c r="N13" s="3">
        <v>1678.84</v>
      </c>
      <c r="O13" t="s">
        <v>1266</v>
      </c>
      <c r="P13" t="s">
        <v>23</v>
      </c>
    </row>
    <row r="14" spans="1:16" hidden="1">
      <c r="A14">
        <v>1110101</v>
      </c>
      <c r="B14" t="s">
        <v>1263</v>
      </c>
      <c r="C14">
        <v>54492.639999999999</v>
      </c>
      <c r="D14" s="9" t="s">
        <v>1282</v>
      </c>
      <c r="E14" s="9" t="s">
        <v>1282</v>
      </c>
      <c r="F14" t="s">
        <v>1289</v>
      </c>
      <c r="H14" s="4" t="s">
        <v>43</v>
      </c>
      <c r="I14">
        <v>2112313</v>
      </c>
      <c r="J14" s="6" t="s">
        <v>1290</v>
      </c>
      <c r="K14">
        <v>25001625</v>
      </c>
      <c r="L14" t="s">
        <v>1281</v>
      </c>
      <c r="M14" s="3">
        <v>0</v>
      </c>
      <c r="N14" s="3">
        <v>704.58</v>
      </c>
      <c r="O14" t="s">
        <v>1266</v>
      </c>
      <c r="P14" t="s">
        <v>23</v>
      </c>
    </row>
    <row r="15" spans="1:16" hidden="1">
      <c r="A15">
        <v>1110101</v>
      </c>
      <c r="B15" t="s">
        <v>1263</v>
      </c>
      <c r="C15">
        <v>54492.639999999999</v>
      </c>
      <c r="D15" s="9" t="s">
        <v>1282</v>
      </c>
      <c r="E15" s="9" t="s">
        <v>1282</v>
      </c>
      <c r="F15" t="s">
        <v>1291</v>
      </c>
      <c r="H15" s="4" t="s">
        <v>43</v>
      </c>
      <c r="I15">
        <v>2111181</v>
      </c>
      <c r="J15" s="7" t="s">
        <v>1292</v>
      </c>
      <c r="K15">
        <v>25001626</v>
      </c>
      <c r="L15" t="s">
        <v>1281</v>
      </c>
      <c r="M15" s="3">
        <v>0</v>
      </c>
      <c r="N15" s="3">
        <v>648.91</v>
      </c>
      <c r="O15" t="s">
        <v>1266</v>
      </c>
      <c r="P15" t="s">
        <v>23</v>
      </c>
    </row>
    <row r="16" spans="1:16" hidden="1">
      <c r="A16">
        <v>1110101</v>
      </c>
      <c r="B16" t="s">
        <v>1263</v>
      </c>
      <c r="C16">
        <v>54492.639999999999</v>
      </c>
      <c r="D16" s="9" t="s">
        <v>1282</v>
      </c>
      <c r="E16" s="9" t="s">
        <v>1282</v>
      </c>
      <c r="F16" t="s">
        <v>1293</v>
      </c>
      <c r="H16" s="4" t="s">
        <v>43</v>
      </c>
      <c r="I16">
        <v>2112295</v>
      </c>
      <c r="J16" s="6" t="s">
        <v>1294</v>
      </c>
      <c r="K16">
        <v>25001627</v>
      </c>
      <c r="L16" t="s">
        <v>1281</v>
      </c>
      <c r="M16" s="3">
        <v>0</v>
      </c>
      <c r="N16" s="3">
        <v>434.42</v>
      </c>
      <c r="O16" t="s">
        <v>1266</v>
      </c>
      <c r="P16" t="s">
        <v>23</v>
      </c>
    </row>
    <row r="17" spans="1:16" hidden="1">
      <c r="A17">
        <v>1110101</v>
      </c>
      <c r="B17" t="s">
        <v>1263</v>
      </c>
      <c r="C17">
        <v>54492.639999999999</v>
      </c>
      <c r="D17" s="9" t="s">
        <v>1282</v>
      </c>
      <c r="E17" s="9" t="s">
        <v>1282</v>
      </c>
      <c r="F17" t="s">
        <v>1295</v>
      </c>
      <c r="H17" s="4" t="s">
        <v>43</v>
      </c>
      <c r="I17">
        <v>2112723</v>
      </c>
      <c r="J17" s="6" t="s">
        <v>304</v>
      </c>
      <c r="K17">
        <v>25001628</v>
      </c>
      <c r="L17" t="s">
        <v>1281</v>
      </c>
      <c r="M17" s="3">
        <v>0</v>
      </c>
      <c r="N17" s="3">
        <v>434.42</v>
      </c>
      <c r="O17" t="s">
        <v>1266</v>
      </c>
      <c r="P17" t="s">
        <v>23</v>
      </c>
    </row>
    <row r="18" spans="1:16" hidden="1">
      <c r="A18">
        <v>1110101</v>
      </c>
      <c r="B18" t="s">
        <v>1263</v>
      </c>
      <c r="C18">
        <v>54492.639999999999</v>
      </c>
      <c r="D18" s="9" t="s">
        <v>1282</v>
      </c>
      <c r="E18" s="9" t="s">
        <v>1282</v>
      </c>
      <c r="F18" t="s">
        <v>1296</v>
      </c>
      <c r="H18" s="4" t="s">
        <v>43</v>
      </c>
      <c r="I18">
        <v>2111145</v>
      </c>
      <c r="J18" s="7" t="s">
        <v>1297</v>
      </c>
      <c r="K18">
        <v>25001629</v>
      </c>
      <c r="L18" t="s">
        <v>1281</v>
      </c>
      <c r="M18" s="3">
        <v>0</v>
      </c>
      <c r="N18" s="3">
        <v>299.31</v>
      </c>
      <c r="O18" t="s">
        <v>1266</v>
      </c>
      <c r="P18" t="s">
        <v>23</v>
      </c>
    </row>
    <row r="19" spans="1:16" hidden="1">
      <c r="A19">
        <v>1110101</v>
      </c>
      <c r="B19" t="s">
        <v>1263</v>
      </c>
      <c r="C19">
        <v>54492.639999999999</v>
      </c>
      <c r="D19" s="9" t="s">
        <v>1282</v>
      </c>
      <c r="E19" s="9" t="s">
        <v>1282</v>
      </c>
      <c r="F19" t="s">
        <v>1298</v>
      </c>
      <c r="H19" s="4" t="s">
        <v>43</v>
      </c>
      <c r="I19">
        <v>2111286</v>
      </c>
      <c r="J19" s="7" t="s">
        <v>1299</v>
      </c>
      <c r="K19">
        <v>25001630</v>
      </c>
      <c r="L19" t="s">
        <v>1281</v>
      </c>
      <c r="M19" s="3">
        <v>0</v>
      </c>
      <c r="N19" s="3">
        <v>117.03</v>
      </c>
      <c r="O19" t="s">
        <v>1266</v>
      </c>
      <c r="P19" t="s">
        <v>23</v>
      </c>
    </row>
    <row r="20" spans="1:16" hidden="1">
      <c r="A20">
        <v>1110101</v>
      </c>
      <c r="B20" t="s">
        <v>1263</v>
      </c>
      <c r="C20">
        <v>54492.639999999999</v>
      </c>
      <c r="D20" s="9" t="s">
        <v>1282</v>
      </c>
      <c r="E20" s="9" t="s">
        <v>1282</v>
      </c>
      <c r="H20" s="4" t="s">
        <v>192</v>
      </c>
      <c r="I20">
        <v>1110102</v>
      </c>
      <c r="J20" s="6" t="s">
        <v>1300</v>
      </c>
      <c r="K20">
        <v>25001677</v>
      </c>
      <c r="L20" t="s">
        <v>1301</v>
      </c>
      <c r="M20" s="3">
        <v>30000</v>
      </c>
      <c r="N20" s="3">
        <v>0</v>
      </c>
      <c r="O20" t="s">
        <v>1302</v>
      </c>
      <c r="P20" t="s">
        <v>23</v>
      </c>
    </row>
    <row r="21" spans="1:16" hidden="1">
      <c r="A21">
        <v>1110101</v>
      </c>
      <c r="B21" t="s">
        <v>1263</v>
      </c>
      <c r="C21">
        <v>54492.639999999999</v>
      </c>
      <c r="D21" s="9" t="s">
        <v>1303</v>
      </c>
      <c r="E21" s="9" t="s">
        <v>1303</v>
      </c>
      <c r="F21" t="s">
        <v>1304</v>
      </c>
      <c r="H21" s="4" t="s">
        <v>1305</v>
      </c>
      <c r="I21">
        <v>1141100</v>
      </c>
      <c r="J21" s="6" t="s">
        <v>1271</v>
      </c>
      <c r="K21">
        <v>25001659</v>
      </c>
      <c r="L21" t="s">
        <v>1272</v>
      </c>
      <c r="M21" s="3">
        <v>16.68</v>
      </c>
      <c r="N21" s="3">
        <v>0</v>
      </c>
      <c r="O21" t="s">
        <v>1306</v>
      </c>
      <c r="P21" t="s">
        <v>23</v>
      </c>
    </row>
    <row r="22" spans="1:16" hidden="1">
      <c r="A22">
        <v>1110101</v>
      </c>
      <c r="B22" t="s">
        <v>1263</v>
      </c>
      <c r="C22">
        <v>54492.639999999999</v>
      </c>
      <c r="D22" s="9" t="s">
        <v>1307</v>
      </c>
      <c r="E22" s="9" t="s">
        <v>1307</v>
      </c>
      <c r="F22" t="s">
        <v>1308</v>
      </c>
      <c r="H22" s="4" t="s">
        <v>43</v>
      </c>
      <c r="I22">
        <v>2111116</v>
      </c>
      <c r="J22" s="7" t="s">
        <v>1309</v>
      </c>
      <c r="K22">
        <v>25001658</v>
      </c>
      <c r="L22" t="s">
        <v>1281</v>
      </c>
      <c r="M22" s="3">
        <v>0</v>
      </c>
      <c r="N22" s="3">
        <v>1719.41</v>
      </c>
      <c r="O22" t="s">
        <v>1266</v>
      </c>
      <c r="P22" t="s">
        <v>23</v>
      </c>
    </row>
    <row r="23" spans="1:16">
      <c r="A23">
        <v>1110101</v>
      </c>
      <c r="B23" t="s">
        <v>1263</v>
      </c>
      <c r="C23">
        <v>54492.639999999999</v>
      </c>
      <c r="D23" s="9" t="s">
        <v>1307</v>
      </c>
      <c r="E23" s="9" t="s">
        <v>1307</v>
      </c>
      <c r="F23">
        <v>2762995</v>
      </c>
      <c r="H23" s="4" t="s">
        <v>120</v>
      </c>
      <c r="I23">
        <v>2121101</v>
      </c>
      <c r="J23" s="6" t="s">
        <v>1310</v>
      </c>
      <c r="K23">
        <v>25001674</v>
      </c>
      <c r="L23" t="s">
        <v>1265</v>
      </c>
      <c r="M23" s="3">
        <v>0</v>
      </c>
      <c r="N23" s="3">
        <v>22754.799999999999</v>
      </c>
      <c r="O23" t="s">
        <v>1276</v>
      </c>
      <c r="P23" t="s">
        <v>23</v>
      </c>
    </row>
    <row r="24" spans="1:16">
      <c r="A24" t="s">
        <v>15</v>
      </c>
      <c r="B24" t="s">
        <v>1263</v>
      </c>
      <c r="C24" s="2">
        <v>54492.639999999999</v>
      </c>
      <c r="D24" s="1">
        <v>45922</v>
      </c>
      <c r="E24" s="1">
        <v>45922</v>
      </c>
      <c r="F24" t="s">
        <v>126</v>
      </c>
      <c r="H24" t="s">
        <v>127</v>
      </c>
      <c r="I24" t="s">
        <v>128</v>
      </c>
      <c r="J24" t="s">
        <v>1278</v>
      </c>
      <c r="K24" t="s">
        <v>1311</v>
      </c>
      <c r="L24" t="s">
        <v>1265</v>
      </c>
      <c r="M24" s="3">
        <v>0</v>
      </c>
      <c r="N24" s="3">
        <v>15479.62</v>
      </c>
      <c r="O24" t="s">
        <v>1276</v>
      </c>
      <c r="P24" t="s">
        <v>23</v>
      </c>
    </row>
    <row r="25" spans="1:16" hidden="1">
      <c r="A25">
        <v>1110101</v>
      </c>
      <c r="B25" t="s">
        <v>1263</v>
      </c>
      <c r="C25">
        <v>54492.639999999999</v>
      </c>
      <c r="D25" s="9" t="s">
        <v>1312</v>
      </c>
      <c r="E25" s="9" t="s">
        <v>1312</v>
      </c>
      <c r="F25" t="s">
        <v>1313</v>
      </c>
      <c r="H25" s="4" t="s">
        <v>101</v>
      </c>
      <c r="I25">
        <v>2111111</v>
      </c>
      <c r="J25" s="7" t="s">
        <v>1314</v>
      </c>
      <c r="K25">
        <v>25001728</v>
      </c>
      <c r="L25" t="s">
        <v>1281</v>
      </c>
      <c r="M25" s="3" t="s">
        <v>1182</v>
      </c>
      <c r="N25" s="3">
        <v>50.66</v>
      </c>
      <c r="O25" t="s">
        <v>1266</v>
      </c>
      <c r="P25" t="s">
        <v>23</v>
      </c>
    </row>
    <row r="26" spans="1:16" hidden="1">
      <c r="A26">
        <v>1110101</v>
      </c>
      <c r="B26" t="s">
        <v>1263</v>
      </c>
      <c r="C26">
        <v>54492.639999999999</v>
      </c>
      <c r="D26" s="9" t="s">
        <v>1315</v>
      </c>
      <c r="E26" s="9" t="s">
        <v>1315</v>
      </c>
      <c r="F26">
        <v>15997109</v>
      </c>
      <c r="H26" s="4" t="s">
        <v>1105</v>
      </c>
      <c r="I26">
        <v>1151104</v>
      </c>
      <c r="J26" s="6" t="s">
        <v>1316</v>
      </c>
      <c r="K26">
        <v>25001725</v>
      </c>
      <c r="L26" t="s">
        <v>1265</v>
      </c>
      <c r="M26" s="3">
        <v>7123.98</v>
      </c>
      <c r="N26" s="3">
        <f>-M26</f>
        <v>-7123.98</v>
      </c>
      <c r="O26" t="s">
        <v>1317</v>
      </c>
      <c r="P26" t="s">
        <v>23</v>
      </c>
    </row>
    <row r="27" spans="1:16" hidden="1">
      <c r="A27">
        <v>1110101</v>
      </c>
      <c r="B27" t="s">
        <v>1263</v>
      </c>
      <c r="C27">
        <v>54492.639999999999</v>
      </c>
      <c r="D27" s="9" t="s">
        <v>1315</v>
      </c>
      <c r="E27" s="9" t="s">
        <v>1315</v>
      </c>
      <c r="H27" s="4" t="s">
        <v>1318</v>
      </c>
      <c r="I27">
        <v>1110102</v>
      </c>
      <c r="J27" s="6" t="s">
        <v>1300</v>
      </c>
      <c r="K27">
        <v>25001729</v>
      </c>
      <c r="L27" t="s">
        <v>1301</v>
      </c>
      <c r="M27" s="3">
        <v>100000</v>
      </c>
      <c r="N27" s="3" t="s">
        <v>1182</v>
      </c>
      <c r="O27" t="s">
        <v>1302</v>
      </c>
      <c r="P27" t="s">
        <v>23</v>
      </c>
    </row>
    <row r="28" spans="1:16" hidden="1">
      <c r="A28">
        <v>1110101</v>
      </c>
      <c r="B28" t="s">
        <v>1263</v>
      </c>
      <c r="C28">
        <v>54492.639999999999</v>
      </c>
      <c r="D28" s="9" t="s">
        <v>1319</v>
      </c>
      <c r="E28" s="9" t="s">
        <v>1319</v>
      </c>
      <c r="H28" s="4" t="s">
        <v>1320</v>
      </c>
      <c r="I28">
        <v>815100</v>
      </c>
      <c r="J28" s="7" t="s">
        <v>1321</v>
      </c>
      <c r="K28">
        <v>25001724</v>
      </c>
      <c r="L28" t="s">
        <v>1265</v>
      </c>
      <c r="M28" s="3" t="s">
        <v>1182</v>
      </c>
      <c r="N28" s="3">
        <v>69.510000000000005</v>
      </c>
      <c r="O28" t="s">
        <v>1322</v>
      </c>
      <c r="P28" t="s">
        <v>23</v>
      </c>
    </row>
    <row r="29" spans="1:16">
      <c r="A29">
        <v>1110101</v>
      </c>
      <c r="B29" t="s">
        <v>1263</v>
      </c>
      <c r="C29">
        <v>54492.639999999999</v>
      </c>
      <c r="D29" s="9" t="s">
        <v>1319</v>
      </c>
      <c r="E29" s="9" t="s">
        <v>1319</v>
      </c>
      <c r="F29">
        <v>160765786</v>
      </c>
      <c r="H29" s="4" t="s">
        <v>420</v>
      </c>
      <c r="I29">
        <v>2122100</v>
      </c>
      <c r="J29" s="6" t="s">
        <v>1323</v>
      </c>
      <c r="K29">
        <v>25001726</v>
      </c>
      <c r="L29" t="s">
        <v>1265</v>
      </c>
      <c r="M29" s="3" t="s">
        <v>1182</v>
      </c>
      <c r="N29" s="3">
        <v>58194.26</v>
      </c>
      <c r="O29" t="s">
        <v>1276</v>
      </c>
      <c r="P29" t="s">
        <v>23</v>
      </c>
    </row>
    <row r="30" spans="1:16" hidden="1">
      <c r="A30">
        <v>1110102</v>
      </c>
      <c r="B30" t="s">
        <v>1300</v>
      </c>
      <c r="C30" s="2">
        <v>154966.18</v>
      </c>
      <c r="D30" s="1">
        <v>45697</v>
      </c>
      <c r="E30" s="1">
        <v>45697</v>
      </c>
      <c r="F30">
        <v>6884</v>
      </c>
      <c r="H30" t="s">
        <v>722</v>
      </c>
      <c r="I30">
        <v>2123112</v>
      </c>
      <c r="J30" t="s">
        <v>1324</v>
      </c>
      <c r="K30">
        <v>25001595</v>
      </c>
      <c r="L30" t="s">
        <v>1265</v>
      </c>
      <c r="M30" s="3">
        <v>0</v>
      </c>
      <c r="N30" s="3">
        <v>1730.26</v>
      </c>
      <c r="O30" t="s">
        <v>1266</v>
      </c>
      <c r="P30" t="s">
        <v>23</v>
      </c>
    </row>
    <row r="31" spans="1:16" hidden="1">
      <c r="A31">
        <v>1110102</v>
      </c>
      <c r="B31" t="s">
        <v>1300</v>
      </c>
      <c r="C31">
        <v>154966.18</v>
      </c>
      <c r="D31" s="9" t="s">
        <v>1282</v>
      </c>
      <c r="E31" s="9" t="s">
        <v>1282</v>
      </c>
      <c r="F31" t="s">
        <v>1325</v>
      </c>
      <c r="H31" s="4" t="s">
        <v>43</v>
      </c>
      <c r="I31">
        <v>2112509</v>
      </c>
      <c r="J31" s="6" t="s">
        <v>750</v>
      </c>
      <c r="K31">
        <v>25001621</v>
      </c>
      <c r="L31" t="s">
        <v>1281</v>
      </c>
      <c r="M31" s="3">
        <v>0</v>
      </c>
      <c r="N31" s="3">
        <v>8625.7999999999993</v>
      </c>
      <c r="O31" t="s">
        <v>1266</v>
      </c>
      <c r="P31" t="s">
        <v>23</v>
      </c>
    </row>
    <row r="32" spans="1:16" hidden="1">
      <c r="A32">
        <v>1110102</v>
      </c>
      <c r="B32" t="s">
        <v>1300</v>
      </c>
      <c r="C32">
        <v>154966.18</v>
      </c>
      <c r="D32" s="9" t="s">
        <v>1282</v>
      </c>
      <c r="E32" s="9" t="s">
        <v>1282</v>
      </c>
      <c r="F32" t="s">
        <v>1326</v>
      </c>
      <c r="H32" s="4" t="s">
        <v>43</v>
      </c>
      <c r="I32">
        <v>2112764</v>
      </c>
      <c r="J32" s="6" t="s">
        <v>898</v>
      </c>
      <c r="K32">
        <v>25001632</v>
      </c>
      <c r="L32" t="s">
        <v>1281</v>
      </c>
      <c r="M32" s="3">
        <v>0</v>
      </c>
      <c r="N32" s="3">
        <v>540</v>
      </c>
      <c r="O32" t="s">
        <v>1266</v>
      </c>
      <c r="P32" t="s">
        <v>23</v>
      </c>
    </row>
    <row r="33" spans="1:16" hidden="1">
      <c r="A33">
        <v>1110102</v>
      </c>
      <c r="B33" t="s">
        <v>1300</v>
      </c>
      <c r="C33">
        <v>154966.18</v>
      </c>
      <c r="D33" s="9" t="s">
        <v>1282</v>
      </c>
      <c r="E33" s="9" t="s">
        <v>1282</v>
      </c>
      <c r="H33" s="4" t="s">
        <v>192</v>
      </c>
      <c r="I33">
        <v>1110101</v>
      </c>
      <c r="J33" s="6" t="s">
        <v>1263</v>
      </c>
      <c r="K33">
        <v>25001677</v>
      </c>
      <c r="L33" t="s">
        <v>1301</v>
      </c>
      <c r="M33" s="3">
        <v>0</v>
      </c>
      <c r="N33" s="3">
        <v>30000</v>
      </c>
      <c r="O33" t="s">
        <v>1302</v>
      </c>
      <c r="P33" t="s">
        <v>23</v>
      </c>
    </row>
    <row r="34" spans="1:16" hidden="1">
      <c r="A34">
        <v>1110102</v>
      </c>
      <c r="B34" t="s">
        <v>1300</v>
      </c>
      <c r="C34">
        <v>154966.18</v>
      </c>
      <c r="D34" s="9" t="s">
        <v>1327</v>
      </c>
      <c r="E34" s="9" t="s">
        <v>1327</v>
      </c>
      <c r="F34" t="s">
        <v>1328</v>
      </c>
      <c r="H34" t="s">
        <v>1329</v>
      </c>
      <c r="I34">
        <v>2241146</v>
      </c>
      <c r="J34" s="6" t="s">
        <v>739</v>
      </c>
      <c r="K34">
        <v>25001640</v>
      </c>
      <c r="L34" t="s">
        <v>1272</v>
      </c>
      <c r="M34" s="3">
        <v>125000</v>
      </c>
      <c r="N34" s="3">
        <v>0</v>
      </c>
      <c r="O34" t="s">
        <v>1330</v>
      </c>
      <c r="P34" t="s">
        <v>23</v>
      </c>
    </row>
    <row r="35" spans="1:16" hidden="1">
      <c r="A35">
        <v>1110103</v>
      </c>
      <c r="B35" t="s">
        <v>1331</v>
      </c>
      <c r="C35">
        <v>-6948.5</v>
      </c>
      <c r="D35" s="8">
        <v>45697</v>
      </c>
      <c r="E35" s="8">
        <v>45697</v>
      </c>
      <c r="F35">
        <v>6884</v>
      </c>
      <c r="H35" s="4" t="s">
        <v>722</v>
      </c>
      <c r="I35">
        <v>2123113</v>
      </c>
      <c r="J35" s="6" t="s">
        <v>1332</v>
      </c>
      <c r="K35">
        <v>25001596</v>
      </c>
      <c r="L35" t="s">
        <v>1265</v>
      </c>
      <c r="M35" s="3">
        <v>0</v>
      </c>
      <c r="N35" s="3">
        <v>795.06</v>
      </c>
      <c r="O35" t="s">
        <v>1266</v>
      </c>
      <c r="P35" t="s">
        <v>23</v>
      </c>
    </row>
    <row r="36" spans="1:16" hidden="1">
      <c r="A36">
        <v>1110103</v>
      </c>
      <c r="B36" t="s">
        <v>1331</v>
      </c>
      <c r="C36">
        <v>-6948.5</v>
      </c>
      <c r="D36" s="9" t="s">
        <v>1282</v>
      </c>
      <c r="E36" s="9" t="s">
        <v>1282</v>
      </c>
      <c r="F36" t="s">
        <v>1333</v>
      </c>
      <c r="H36" s="4" t="s">
        <v>43</v>
      </c>
      <c r="I36">
        <v>2112118</v>
      </c>
      <c r="J36" s="6" t="s">
        <v>1334</v>
      </c>
      <c r="K36">
        <v>25001631</v>
      </c>
      <c r="L36" t="s">
        <v>1281</v>
      </c>
      <c r="M36" s="3">
        <v>0</v>
      </c>
      <c r="N36" s="3">
        <v>2529.5</v>
      </c>
      <c r="O36" t="s">
        <v>1266</v>
      </c>
      <c r="P36" t="s">
        <v>23</v>
      </c>
    </row>
    <row r="37" spans="1:16" hidden="1">
      <c r="A37">
        <v>1110105</v>
      </c>
      <c r="B37" t="s">
        <v>1335</v>
      </c>
      <c r="C37">
        <v>-17.309999999999999</v>
      </c>
      <c r="M37" s="3">
        <v>0</v>
      </c>
      <c r="N37" s="3">
        <v>0</v>
      </c>
      <c r="P37" t="s">
        <v>23</v>
      </c>
    </row>
    <row r="38" spans="1:16" hidden="1">
      <c r="A38">
        <v>1110106</v>
      </c>
      <c r="B38" t="s">
        <v>1336</v>
      </c>
      <c r="C38">
        <v>222317.11</v>
      </c>
      <c r="M38" s="3">
        <v>0</v>
      </c>
      <c r="N38" s="3">
        <v>0</v>
      </c>
      <c r="P38" t="s">
        <v>23</v>
      </c>
    </row>
    <row r="39" spans="1:16" hidden="1">
      <c r="A39" t="s">
        <v>772</v>
      </c>
      <c r="B39" t="s">
        <v>1336</v>
      </c>
      <c r="C39" s="2">
        <v>222317.11</v>
      </c>
      <c r="D39" s="1">
        <v>45925</v>
      </c>
      <c r="E39" s="1">
        <v>45925</v>
      </c>
      <c r="H39" t="s">
        <v>1004</v>
      </c>
      <c r="I39" t="s">
        <v>1029</v>
      </c>
      <c r="J39" t="s">
        <v>1337</v>
      </c>
      <c r="K39" t="s">
        <v>1338</v>
      </c>
      <c r="L39" t="s">
        <v>1265</v>
      </c>
      <c r="M39" s="3">
        <v>0</v>
      </c>
      <c r="N39" s="3">
        <v>5000</v>
      </c>
      <c r="P39" t="s">
        <v>23</v>
      </c>
    </row>
    <row r="40" spans="1:16" hidden="1">
      <c r="A40">
        <v>1110110</v>
      </c>
      <c r="B40" t="s">
        <v>1339</v>
      </c>
      <c r="C40">
        <v>241.23</v>
      </c>
      <c r="M40" s="3">
        <v>0</v>
      </c>
      <c r="N40" s="3">
        <v>0</v>
      </c>
      <c r="P40" t="s">
        <v>23</v>
      </c>
    </row>
    <row r="41" spans="1:16" hidden="1">
      <c r="A41">
        <v>1110111</v>
      </c>
      <c r="B41" t="s">
        <v>1076</v>
      </c>
      <c r="C41">
        <v>900.96</v>
      </c>
      <c r="M41" s="3">
        <v>0</v>
      </c>
      <c r="N41" s="3">
        <v>0</v>
      </c>
      <c r="P41" t="s">
        <v>23</v>
      </c>
    </row>
    <row r="42" spans="1:16" hidden="1">
      <c r="A42">
        <v>1110112</v>
      </c>
      <c r="B42" t="s">
        <v>1340</v>
      </c>
      <c r="C42">
        <v>956.52</v>
      </c>
      <c r="M42" s="3">
        <v>0</v>
      </c>
      <c r="N42" s="3">
        <v>0</v>
      </c>
      <c r="P42" t="s">
        <v>23</v>
      </c>
    </row>
    <row r="43" spans="1:16" hidden="1">
      <c r="A43">
        <v>1121100</v>
      </c>
      <c r="B43" t="s">
        <v>1341</v>
      </c>
      <c r="C43">
        <v>28000.18</v>
      </c>
      <c r="M43" s="3">
        <v>0</v>
      </c>
      <c r="N43" s="3">
        <v>0</v>
      </c>
      <c r="P43" t="s">
        <v>23</v>
      </c>
    </row>
  </sheetData>
  <autoFilter ref="A1:Q43" xr:uid="{BFA9529B-B1F3-4D03-A94D-B5BAE1EF8B47}">
    <filterColumn colId="14">
      <filters>
        <filter val="Salary"/>
      </filters>
    </filterColumn>
    <sortState xmlns:xlrd2="http://schemas.microsoft.com/office/spreadsheetml/2017/richdata2" ref="A2:Q13">
      <sortCondition ref="E1:E1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57061-41E8-471F-B4DC-6092E12062B6}">
  <dimension ref="A1:Q88"/>
  <sheetViews>
    <sheetView topLeftCell="A47" workbookViewId="0">
      <selection activeCell="Q52" sqref="Q52"/>
    </sheetView>
  </sheetViews>
  <sheetFormatPr defaultRowHeight="15"/>
  <cols>
    <col min="1" max="1" width="11.7109375" style="6" bestFit="1" customWidth="1"/>
    <col min="2" max="2" width="15.42578125" bestFit="1" customWidth="1"/>
    <col min="3" max="3" width="11.7109375" bestFit="1" customWidth="1"/>
    <col min="4" max="4" width="15.7109375" bestFit="1" customWidth="1"/>
    <col min="5" max="5" width="10.140625" bestFit="1" customWidth="1"/>
    <col min="6" max="6" width="12.28515625" bestFit="1" customWidth="1"/>
    <col min="7" max="7" width="7.7109375" bestFit="1" customWidth="1"/>
    <col min="8" max="8" width="16.85546875" bestFit="1" customWidth="1"/>
    <col min="9" max="9" width="14.7109375" bestFit="1" customWidth="1"/>
    <col min="10" max="10" width="38.7109375" bestFit="1" customWidth="1"/>
    <col min="11" max="11" width="15.5703125" bestFit="1" customWidth="1"/>
    <col min="12" max="12" width="5.85546875" customWidth="1"/>
    <col min="13" max="13" width="11.28515625" style="3" bestFit="1" customWidth="1"/>
    <col min="14" max="14" width="11.140625" style="3" bestFit="1" customWidth="1"/>
    <col min="15" max="15" width="11.140625" bestFit="1" customWidth="1"/>
    <col min="16" max="16" width="4.85546875" bestFit="1" customWidth="1"/>
    <col min="17" max="17" width="12.28515625" customWidth="1"/>
  </cols>
  <sheetData>
    <row r="1" spans="1:17">
      <c r="A1" s="6" t="s">
        <v>1248</v>
      </c>
      <c r="B1" t="s">
        <v>1249</v>
      </c>
      <c r="C1" t="s">
        <v>1250</v>
      </c>
      <c r="D1" t="s">
        <v>1251</v>
      </c>
      <c r="E1" t="s">
        <v>1252</v>
      </c>
      <c r="F1" t="s">
        <v>1253</v>
      </c>
      <c r="G1" t="s">
        <v>1254</v>
      </c>
      <c r="H1" t="s">
        <v>1255</v>
      </c>
      <c r="I1" t="s">
        <v>1256</v>
      </c>
      <c r="J1" t="s">
        <v>1257</v>
      </c>
      <c r="K1" t="s">
        <v>1258</v>
      </c>
      <c r="L1" t="s">
        <v>1259</v>
      </c>
      <c r="M1" s="3" t="s">
        <v>1260</v>
      </c>
      <c r="N1" s="3" t="s">
        <v>1261</v>
      </c>
      <c r="P1" t="s">
        <v>1342</v>
      </c>
    </row>
    <row r="2" spans="1:17">
      <c r="A2" s="6">
        <v>1110100</v>
      </c>
      <c r="B2" t="s">
        <v>1262</v>
      </c>
      <c r="C2">
        <v>44.22</v>
      </c>
      <c r="M2" s="3">
        <v>0</v>
      </c>
      <c r="N2" s="3">
        <v>0</v>
      </c>
      <c r="P2" t="s">
        <v>23</v>
      </c>
    </row>
    <row r="3" spans="1:17">
      <c r="A3" s="6">
        <v>1110101</v>
      </c>
      <c r="B3" t="s">
        <v>1263</v>
      </c>
      <c r="C3">
        <v>54328.87</v>
      </c>
      <c r="D3" s="1">
        <v>45726</v>
      </c>
      <c r="E3" s="1">
        <v>45726</v>
      </c>
      <c r="F3">
        <v>8434</v>
      </c>
      <c r="H3" s="4" t="s">
        <v>18</v>
      </c>
      <c r="I3">
        <v>2123126</v>
      </c>
      <c r="J3" t="s">
        <v>1264</v>
      </c>
      <c r="K3">
        <v>25001731</v>
      </c>
      <c r="L3" t="s">
        <v>1265</v>
      </c>
      <c r="M3" s="3">
        <v>0</v>
      </c>
      <c r="N3" s="3">
        <v>5.81</v>
      </c>
      <c r="O3" s="10">
        <f>C3+M3-N3</f>
        <v>54323.060000000005</v>
      </c>
      <c r="P3" t="s">
        <v>23</v>
      </c>
      <c r="Q3" t="s">
        <v>1266</v>
      </c>
    </row>
    <row r="4" spans="1:17">
      <c r="A4" s="6">
        <v>1110101</v>
      </c>
      <c r="B4" t="s">
        <v>1263</v>
      </c>
      <c r="C4">
        <v>54328.87</v>
      </c>
      <c r="D4" s="1">
        <v>45726</v>
      </c>
      <c r="E4" s="1">
        <v>45726</v>
      </c>
      <c r="F4">
        <v>7604</v>
      </c>
      <c r="H4" s="4" t="s">
        <v>18</v>
      </c>
      <c r="I4">
        <v>2123120</v>
      </c>
      <c r="J4" t="s">
        <v>1267</v>
      </c>
      <c r="K4">
        <v>25001732</v>
      </c>
      <c r="L4" t="s">
        <v>1265</v>
      </c>
      <c r="M4" s="3">
        <v>0</v>
      </c>
      <c r="N4" s="3">
        <v>2884.03</v>
      </c>
      <c r="O4" s="10">
        <f>O3+M4-N4</f>
        <v>51439.030000000006</v>
      </c>
      <c r="P4" t="s">
        <v>23</v>
      </c>
      <c r="Q4" t="s">
        <v>1266</v>
      </c>
    </row>
    <row r="5" spans="1:17">
      <c r="A5" s="6">
        <v>1110101</v>
      </c>
      <c r="B5" t="s">
        <v>1263</v>
      </c>
      <c r="C5">
        <v>54328.87</v>
      </c>
      <c r="D5" s="1">
        <v>45726</v>
      </c>
      <c r="E5" s="1">
        <v>45726</v>
      </c>
      <c r="F5">
        <v>6884</v>
      </c>
      <c r="H5" s="4" t="s">
        <v>18</v>
      </c>
      <c r="I5">
        <v>2123111</v>
      </c>
      <c r="J5" t="s">
        <v>1268</v>
      </c>
      <c r="K5">
        <v>25001733</v>
      </c>
      <c r="L5" t="s">
        <v>1265</v>
      </c>
      <c r="M5" s="3">
        <v>0</v>
      </c>
      <c r="N5" s="3">
        <v>7808.78</v>
      </c>
      <c r="O5" s="10">
        <f t="shared" ref="O5:O52" si="0">O4+M5-N5</f>
        <v>43630.250000000007</v>
      </c>
      <c r="P5" t="s">
        <v>23</v>
      </c>
      <c r="Q5" t="s">
        <v>1266</v>
      </c>
    </row>
    <row r="6" spans="1:17">
      <c r="A6" s="6">
        <v>1110101</v>
      </c>
      <c r="B6" t="s">
        <v>1263</v>
      </c>
      <c r="C6">
        <v>54328.87</v>
      </c>
      <c r="D6" s="1">
        <v>45787</v>
      </c>
      <c r="E6" s="1">
        <v>45787</v>
      </c>
      <c r="F6" t="s">
        <v>1343</v>
      </c>
      <c r="H6" s="4" t="s">
        <v>43</v>
      </c>
      <c r="I6">
        <v>2112790</v>
      </c>
      <c r="J6" t="s">
        <v>1344</v>
      </c>
      <c r="K6">
        <v>25001712</v>
      </c>
      <c r="L6" t="s">
        <v>1281</v>
      </c>
      <c r="M6" s="3">
        <v>0</v>
      </c>
      <c r="N6" s="3">
        <v>9397.2900000000009</v>
      </c>
      <c r="O6" s="10">
        <f t="shared" si="0"/>
        <v>34232.960000000006</v>
      </c>
      <c r="P6" t="s">
        <v>23</v>
      </c>
      <c r="Q6" t="s">
        <v>1266</v>
      </c>
    </row>
    <row r="7" spans="1:17">
      <c r="A7" s="6">
        <v>1110101</v>
      </c>
      <c r="B7" t="s">
        <v>1263</v>
      </c>
      <c r="C7">
        <v>54328.87</v>
      </c>
      <c r="D7" s="1">
        <v>45787</v>
      </c>
      <c r="E7" s="1">
        <v>45787</v>
      </c>
      <c r="F7" t="s">
        <v>1345</v>
      </c>
      <c r="H7" s="4" t="s">
        <v>43</v>
      </c>
      <c r="I7">
        <v>2112505</v>
      </c>
      <c r="J7" t="s">
        <v>1346</v>
      </c>
      <c r="K7">
        <v>25001713</v>
      </c>
      <c r="L7" t="s">
        <v>1281</v>
      </c>
      <c r="M7" s="3">
        <v>0</v>
      </c>
      <c r="N7" s="3">
        <v>711.92</v>
      </c>
      <c r="O7" s="10">
        <f t="shared" si="0"/>
        <v>33521.040000000008</v>
      </c>
      <c r="P7" t="s">
        <v>23</v>
      </c>
      <c r="Q7" t="s">
        <v>1266</v>
      </c>
    </row>
    <row r="8" spans="1:17">
      <c r="A8" s="6">
        <v>1110101</v>
      </c>
      <c r="B8" t="s">
        <v>1263</v>
      </c>
      <c r="C8">
        <v>54328.87</v>
      </c>
      <c r="D8" s="1">
        <v>45787</v>
      </c>
      <c r="E8" s="1">
        <v>45787</v>
      </c>
      <c r="F8" t="s">
        <v>1347</v>
      </c>
      <c r="H8" s="4" t="s">
        <v>43</v>
      </c>
      <c r="I8">
        <v>2111283</v>
      </c>
      <c r="J8" t="s">
        <v>1348</v>
      </c>
      <c r="K8">
        <v>25001718</v>
      </c>
      <c r="L8" t="s">
        <v>1281</v>
      </c>
      <c r="M8" s="3">
        <v>0</v>
      </c>
      <c r="N8" s="3">
        <v>177.98</v>
      </c>
      <c r="O8" s="10">
        <f t="shared" si="0"/>
        <v>33343.060000000005</v>
      </c>
      <c r="P8" t="s">
        <v>23</v>
      </c>
      <c r="Q8" t="s">
        <v>1266</v>
      </c>
    </row>
    <row r="9" spans="1:17">
      <c r="A9" s="6">
        <v>1110101</v>
      </c>
      <c r="B9" t="s">
        <v>1263</v>
      </c>
      <c r="C9">
        <v>54328.87</v>
      </c>
      <c r="D9" s="1">
        <v>45787</v>
      </c>
      <c r="E9" s="1">
        <v>45787</v>
      </c>
      <c r="F9" t="s">
        <v>1349</v>
      </c>
      <c r="H9" s="4" t="s">
        <v>43</v>
      </c>
      <c r="I9">
        <v>2111175</v>
      </c>
      <c r="J9" s="4" t="s">
        <v>1350</v>
      </c>
      <c r="K9">
        <v>25001719</v>
      </c>
      <c r="L9" t="s">
        <v>1281</v>
      </c>
      <c r="M9" s="3">
        <v>0</v>
      </c>
      <c r="N9" s="3">
        <v>180.42</v>
      </c>
      <c r="O9" s="10">
        <f t="shared" si="0"/>
        <v>33162.640000000007</v>
      </c>
      <c r="P9" t="s">
        <v>23</v>
      </c>
      <c r="Q9" t="s">
        <v>1266</v>
      </c>
    </row>
    <row r="10" spans="1:17">
      <c r="A10" s="6">
        <v>1110101</v>
      </c>
      <c r="B10" t="s">
        <v>1263</v>
      </c>
      <c r="C10">
        <v>54328.87</v>
      </c>
      <c r="D10" s="1">
        <v>45787</v>
      </c>
      <c r="E10" s="1">
        <v>45787</v>
      </c>
      <c r="F10" t="s">
        <v>1351</v>
      </c>
      <c r="H10" s="4" t="s">
        <v>43</v>
      </c>
      <c r="I10">
        <v>2112438</v>
      </c>
      <c r="J10" t="s">
        <v>1352</v>
      </c>
      <c r="K10">
        <v>25001720</v>
      </c>
      <c r="L10" t="s">
        <v>1281</v>
      </c>
      <c r="M10" s="3">
        <v>0</v>
      </c>
      <c r="N10" s="3">
        <v>365.21</v>
      </c>
      <c r="O10" s="10">
        <f t="shared" si="0"/>
        <v>32797.430000000008</v>
      </c>
      <c r="P10" t="s">
        <v>23</v>
      </c>
      <c r="Q10" t="s">
        <v>1266</v>
      </c>
    </row>
    <row r="11" spans="1:17">
      <c r="A11" s="6">
        <v>1110101</v>
      </c>
      <c r="B11" t="s">
        <v>1263</v>
      </c>
      <c r="C11">
        <v>54328.87</v>
      </c>
      <c r="D11" s="1">
        <v>45787</v>
      </c>
      <c r="E11" s="1">
        <v>45787</v>
      </c>
      <c r="F11" t="s">
        <v>1353</v>
      </c>
      <c r="H11" s="4" t="s">
        <v>43</v>
      </c>
      <c r="I11">
        <v>2111265</v>
      </c>
      <c r="J11" t="s">
        <v>1354</v>
      </c>
      <c r="K11">
        <v>25001721</v>
      </c>
      <c r="L11" t="s">
        <v>1281</v>
      </c>
      <c r="M11" s="3">
        <v>0</v>
      </c>
      <c r="N11" s="3">
        <v>711.92</v>
      </c>
      <c r="O11" s="10">
        <f t="shared" si="0"/>
        <v>32085.510000000009</v>
      </c>
      <c r="P11" t="s">
        <v>23</v>
      </c>
      <c r="Q11" t="s">
        <v>1266</v>
      </c>
    </row>
    <row r="12" spans="1:17">
      <c r="A12" s="6">
        <v>1110101</v>
      </c>
      <c r="B12" t="s">
        <v>1263</v>
      </c>
      <c r="C12">
        <v>54328.87</v>
      </c>
      <c r="D12" s="1">
        <v>45787</v>
      </c>
      <c r="E12" s="1">
        <v>45787</v>
      </c>
      <c r="F12" t="s">
        <v>1355</v>
      </c>
      <c r="H12" s="4" t="s">
        <v>43</v>
      </c>
      <c r="I12">
        <v>2112591</v>
      </c>
      <c r="J12" t="s">
        <v>1356</v>
      </c>
      <c r="K12">
        <v>25001722</v>
      </c>
      <c r="L12" t="s">
        <v>1281</v>
      </c>
      <c r="M12" s="3">
        <v>0</v>
      </c>
      <c r="N12" s="3">
        <v>1435.29</v>
      </c>
      <c r="O12" s="10">
        <f t="shared" si="0"/>
        <v>30650.220000000008</v>
      </c>
      <c r="P12" t="s">
        <v>23</v>
      </c>
      <c r="Q12" t="s">
        <v>1266</v>
      </c>
    </row>
    <row r="13" spans="1:17">
      <c r="A13" s="6">
        <v>1110101</v>
      </c>
      <c r="B13" t="s">
        <v>1263</v>
      </c>
      <c r="C13">
        <v>54328.87</v>
      </c>
      <c r="D13" s="1">
        <v>45818</v>
      </c>
      <c r="E13" s="1">
        <v>45818</v>
      </c>
      <c r="H13" s="4" t="s">
        <v>592</v>
      </c>
      <c r="I13">
        <v>1110103</v>
      </c>
      <c r="J13" t="s">
        <v>1331</v>
      </c>
      <c r="K13">
        <v>25001727</v>
      </c>
      <c r="L13" t="s">
        <v>1301</v>
      </c>
      <c r="M13" s="3">
        <v>0</v>
      </c>
      <c r="N13" s="3">
        <v>7068.21</v>
      </c>
      <c r="O13" s="10">
        <f t="shared" si="0"/>
        <v>23582.010000000009</v>
      </c>
      <c r="P13" t="s">
        <v>23</v>
      </c>
      <c r="Q13" t="s">
        <v>1302</v>
      </c>
    </row>
    <row r="14" spans="1:17">
      <c r="A14" s="6">
        <v>1110101</v>
      </c>
      <c r="B14" t="s">
        <v>1263</v>
      </c>
      <c r="C14">
        <v>54328.87</v>
      </c>
      <c r="D14" s="1">
        <v>45818</v>
      </c>
      <c r="E14" s="1">
        <v>45818</v>
      </c>
      <c r="H14" s="4" t="s">
        <v>1357</v>
      </c>
      <c r="I14">
        <v>1110103</v>
      </c>
      <c r="J14" t="s">
        <v>1331</v>
      </c>
      <c r="K14">
        <v>25001797</v>
      </c>
      <c r="L14" t="s">
        <v>1301</v>
      </c>
      <c r="M14" s="3">
        <v>0</v>
      </c>
      <c r="N14" s="3">
        <v>-7068.21</v>
      </c>
      <c r="O14" s="10">
        <f t="shared" si="0"/>
        <v>30650.220000000008</v>
      </c>
      <c r="P14" t="s">
        <v>23</v>
      </c>
      <c r="Q14" t="s">
        <v>1302</v>
      </c>
    </row>
    <row r="15" spans="1:17">
      <c r="A15" s="6">
        <v>1110101</v>
      </c>
      <c r="B15" t="s">
        <v>1263</v>
      </c>
      <c r="C15">
        <v>54328.87</v>
      </c>
      <c r="D15" s="1">
        <v>45818</v>
      </c>
      <c r="E15" s="1">
        <v>45818</v>
      </c>
      <c r="H15" s="4" t="s">
        <v>592</v>
      </c>
      <c r="I15">
        <v>1110103</v>
      </c>
      <c r="J15" t="s">
        <v>1331</v>
      </c>
      <c r="K15">
        <v>25001798</v>
      </c>
      <c r="L15" t="s">
        <v>1301</v>
      </c>
      <c r="M15" s="3">
        <v>0</v>
      </c>
      <c r="N15" s="3">
        <v>6945.78</v>
      </c>
      <c r="O15" s="10">
        <f t="shared" si="0"/>
        <v>23704.44000000001</v>
      </c>
      <c r="P15" t="s">
        <v>23</v>
      </c>
      <c r="Q15" t="s">
        <v>1302</v>
      </c>
    </row>
    <row r="16" spans="1:17">
      <c r="A16" s="6">
        <v>1110101</v>
      </c>
      <c r="B16" t="s">
        <v>1263</v>
      </c>
      <c r="C16">
        <v>54328.87</v>
      </c>
      <c r="D16" s="1">
        <v>45940</v>
      </c>
      <c r="E16" s="1">
        <v>45940</v>
      </c>
      <c r="F16">
        <v>88367305</v>
      </c>
      <c r="H16" s="4" t="s">
        <v>220</v>
      </c>
      <c r="I16">
        <v>2121103</v>
      </c>
      <c r="J16" t="s">
        <v>1275</v>
      </c>
      <c r="K16">
        <v>25001795</v>
      </c>
      <c r="L16" t="s">
        <v>1265</v>
      </c>
      <c r="M16" s="3">
        <v>0</v>
      </c>
      <c r="N16" s="3">
        <v>24053.21</v>
      </c>
      <c r="O16" s="10">
        <f t="shared" si="0"/>
        <v>-348.76999999998952</v>
      </c>
      <c r="P16" t="s">
        <v>23</v>
      </c>
      <c r="Q16" t="s">
        <v>1276</v>
      </c>
    </row>
    <row r="17" spans="1:17">
      <c r="A17" s="6">
        <v>1110101</v>
      </c>
      <c r="B17" t="s">
        <v>1263</v>
      </c>
      <c r="C17">
        <v>54328.87</v>
      </c>
      <c r="D17" t="s">
        <v>1358</v>
      </c>
      <c r="E17" t="s">
        <v>1358</v>
      </c>
      <c r="F17">
        <v>10073</v>
      </c>
      <c r="H17" s="4" t="s">
        <v>592</v>
      </c>
      <c r="I17">
        <v>1110102</v>
      </c>
      <c r="J17" t="s">
        <v>1300</v>
      </c>
      <c r="K17">
        <v>25001796</v>
      </c>
      <c r="L17" t="s">
        <v>1301</v>
      </c>
      <c r="M17" s="3">
        <v>50000</v>
      </c>
      <c r="N17" s="3">
        <v>0</v>
      </c>
      <c r="O17" s="10">
        <f t="shared" si="0"/>
        <v>49651.23000000001</v>
      </c>
      <c r="P17" t="s">
        <v>23</v>
      </c>
      <c r="Q17" t="s">
        <v>1302</v>
      </c>
    </row>
    <row r="18" spans="1:17">
      <c r="A18" s="6">
        <v>1110101</v>
      </c>
      <c r="B18" t="s">
        <v>1263</v>
      </c>
      <c r="C18">
        <v>54328.87</v>
      </c>
      <c r="D18" t="s">
        <v>1359</v>
      </c>
      <c r="E18" t="s">
        <v>1359</v>
      </c>
      <c r="F18" t="s">
        <v>1360</v>
      </c>
      <c r="H18" s="4" t="s">
        <v>43</v>
      </c>
      <c r="I18">
        <v>2111116</v>
      </c>
      <c r="J18" s="4" t="s">
        <v>1361</v>
      </c>
      <c r="K18">
        <v>25001811</v>
      </c>
      <c r="L18" t="s">
        <v>1281</v>
      </c>
      <c r="M18" s="3">
        <v>0</v>
      </c>
      <c r="N18" s="3">
        <v>23391.88</v>
      </c>
      <c r="O18" s="10">
        <f t="shared" si="0"/>
        <v>26259.350000000009</v>
      </c>
      <c r="P18" t="s">
        <v>23</v>
      </c>
      <c r="Q18" t="s">
        <v>1266</v>
      </c>
    </row>
    <row r="19" spans="1:17">
      <c r="A19" s="6">
        <v>1110101</v>
      </c>
      <c r="B19" t="s">
        <v>1263</v>
      </c>
      <c r="C19">
        <v>54328.87</v>
      </c>
      <c r="D19" t="s">
        <v>1359</v>
      </c>
      <c r="E19" t="s">
        <v>1359</v>
      </c>
      <c r="F19" t="s">
        <v>1362</v>
      </c>
      <c r="H19" s="4" t="s">
        <v>43</v>
      </c>
      <c r="I19">
        <v>2112566</v>
      </c>
      <c r="J19" t="s">
        <v>1288</v>
      </c>
      <c r="K19">
        <v>25001812</v>
      </c>
      <c r="L19" t="s">
        <v>1281</v>
      </c>
      <c r="M19" s="3">
        <v>0</v>
      </c>
      <c r="N19" s="3">
        <v>2472.1999999999998</v>
      </c>
      <c r="O19" s="10">
        <f t="shared" si="0"/>
        <v>23787.150000000009</v>
      </c>
      <c r="P19" t="s">
        <v>23</v>
      </c>
      <c r="Q19" t="s">
        <v>1266</v>
      </c>
    </row>
    <row r="20" spans="1:17">
      <c r="A20" s="6">
        <v>1110101</v>
      </c>
      <c r="B20" t="s">
        <v>1263</v>
      </c>
      <c r="C20">
        <v>54328.87</v>
      </c>
      <c r="D20" t="s">
        <v>1359</v>
      </c>
      <c r="E20" t="s">
        <v>1359</v>
      </c>
      <c r="F20" t="s">
        <v>1363</v>
      </c>
      <c r="H20" s="4" t="s">
        <v>43</v>
      </c>
      <c r="I20">
        <v>2112670</v>
      </c>
      <c r="J20" t="s">
        <v>1284</v>
      </c>
      <c r="K20">
        <v>25001813</v>
      </c>
      <c r="L20" t="s">
        <v>1281</v>
      </c>
      <c r="M20" s="3">
        <v>0</v>
      </c>
      <c r="N20" s="3">
        <v>2351.6799999999998</v>
      </c>
      <c r="O20" s="10">
        <f t="shared" si="0"/>
        <v>21435.470000000008</v>
      </c>
      <c r="P20" t="s">
        <v>23</v>
      </c>
      <c r="Q20" t="s">
        <v>1266</v>
      </c>
    </row>
    <row r="21" spans="1:17">
      <c r="A21" s="6">
        <v>1110101</v>
      </c>
      <c r="B21" t="s">
        <v>1263</v>
      </c>
      <c r="C21">
        <v>54328.87</v>
      </c>
      <c r="D21" t="s">
        <v>1359</v>
      </c>
      <c r="E21" t="s">
        <v>1359</v>
      </c>
      <c r="F21" t="s">
        <v>1364</v>
      </c>
      <c r="H21" s="4" t="s">
        <v>43</v>
      </c>
      <c r="I21">
        <v>2112783</v>
      </c>
      <c r="J21" t="s">
        <v>1365</v>
      </c>
      <c r="K21">
        <v>25001814</v>
      </c>
      <c r="L21" t="s">
        <v>1281</v>
      </c>
      <c r="M21" s="3">
        <v>0</v>
      </c>
      <c r="N21" s="3">
        <v>1398.36</v>
      </c>
      <c r="O21" s="10">
        <f t="shared" si="0"/>
        <v>20037.110000000008</v>
      </c>
      <c r="P21" t="s">
        <v>23</v>
      </c>
      <c r="Q21" t="s">
        <v>1266</v>
      </c>
    </row>
    <row r="22" spans="1:17">
      <c r="A22" s="6">
        <v>1110101</v>
      </c>
      <c r="B22" t="s">
        <v>1263</v>
      </c>
      <c r="C22">
        <v>54328.87</v>
      </c>
      <c r="D22" t="s">
        <v>1359</v>
      </c>
      <c r="E22" t="s">
        <v>1359</v>
      </c>
      <c r="F22" t="s">
        <v>1366</v>
      </c>
      <c r="H22" s="4" t="s">
        <v>43</v>
      </c>
      <c r="I22">
        <v>2111286</v>
      </c>
      <c r="J22" s="4" t="s">
        <v>94</v>
      </c>
      <c r="K22">
        <v>25001815</v>
      </c>
      <c r="L22" t="s">
        <v>1281</v>
      </c>
      <c r="M22" s="3">
        <v>0</v>
      </c>
      <c r="N22" s="3">
        <v>743.54</v>
      </c>
      <c r="O22" s="10">
        <f t="shared" si="0"/>
        <v>19293.570000000007</v>
      </c>
      <c r="P22" t="s">
        <v>23</v>
      </c>
      <c r="Q22" t="s">
        <v>1302</v>
      </c>
    </row>
    <row r="23" spans="1:17">
      <c r="A23" s="6">
        <v>1110101</v>
      </c>
      <c r="B23" t="s">
        <v>1263</v>
      </c>
      <c r="C23">
        <v>54328.87</v>
      </c>
      <c r="D23" t="s">
        <v>1359</v>
      </c>
      <c r="E23" t="s">
        <v>1359</v>
      </c>
      <c r="F23" t="s">
        <v>1367</v>
      </c>
      <c r="H23" s="4" t="s">
        <v>43</v>
      </c>
      <c r="I23">
        <v>2111209</v>
      </c>
      <c r="J23" t="s">
        <v>1368</v>
      </c>
      <c r="K23">
        <v>25001818</v>
      </c>
      <c r="L23" t="s">
        <v>1281</v>
      </c>
      <c r="M23" s="3">
        <v>0</v>
      </c>
      <c r="N23" s="3">
        <v>93.28</v>
      </c>
      <c r="O23" s="10">
        <f t="shared" si="0"/>
        <v>19200.290000000008</v>
      </c>
      <c r="P23" t="s">
        <v>23</v>
      </c>
      <c r="Q23" t="s">
        <v>1266</v>
      </c>
    </row>
    <row r="24" spans="1:17">
      <c r="A24" s="6">
        <v>1110101</v>
      </c>
      <c r="B24" t="s">
        <v>1263</v>
      </c>
      <c r="C24">
        <v>54328.87</v>
      </c>
      <c r="D24" t="s">
        <v>1359</v>
      </c>
      <c r="E24" t="s">
        <v>1359</v>
      </c>
      <c r="F24" t="s">
        <v>1369</v>
      </c>
      <c r="H24" s="4" t="s">
        <v>101</v>
      </c>
      <c r="I24">
        <v>2111104</v>
      </c>
      <c r="J24" t="s">
        <v>1280</v>
      </c>
      <c r="K24">
        <v>25001833</v>
      </c>
      <c r="L24" t="s">
        <v>1281</v>
      </c>
      <c r="M24" s="3">
        <v>0</v>
      </c>
      <c r="N24" s="3">
        <v>4325.13</v>
      </c>
      <c r="O24" s="10">
        <f t="shared" si="0"/>
        <v>14875.160000000007</v>
      </c>
      <c r="P24" t="s">
        <v>23</v>
      </c>
      <c r="Q24" t="s">
        <v>1266</v>
      </c>
    </row>
    <row r="25" spans="1:17">
      <c r="A25" s="6">
        <v>1110101</v>
      </c>
      <c r="B25" t="s">
        <v>1263</v>
      </c>
      <c r="C25">
        <v>54328.87</v>
      </c>
      <c r="D25" t="s">
        <v>1370</v>
      </c>
      <c r="E25" t="s">
        <v>1370</v>
      </c>
      <c r="F25">
        <v>58403</v>
      </c>
      <c r="H25" s="4" t="s">
        <v>592</v>
      </c>
      <c r="I25">
        <v>1110103</v>
      </c>
      <c r="J25" t="s">
        <v>1331</v>
      </c>
      <c r="K25">
        <v>25001834</v>
      </c>
      <c r="L25" t="s">
        <v>1301</v>
      </c>
      <c r="M25" s="3">
        <v>0</v>
      </c>
      <c r="N25" s="3">
        <v>4493.3599999999997</v>
      </c>
      <c r="O25" s="10">
        <f t="shared" si="0"/>
        <v>10381.800000000007</v>
      </c>
      <c r="P25" t="s">
        <v>23</v>
      </c>
      <c r="Q25" t="s">
        <v>1302</v>
      </c>
    </row>
    <row r="26" spans="1:17">
      <c r="A26" s="6" t="s">
        <v>15</v>
      </c>
      <c r="B26" t="s">
        <v>1263</v>
      </c>
      <c r="C26" s="2">
        <v>54328.87</v>
      </c>
      <c r="D26" s="1">
        <v>45950</v>
      </c>
      <c r="E26" s="1">
        <v>45950</v>
      </c>
      <c r="F26" t="s">
        <v>1371</v>
      </c>
      <c r="H26" t="s">
        <v>1372</v>
      </c>
      <c r="I26" t="s">
        <v>1373</v>
      </c>
      <c r="J26" t="s">
        <v>1374</v>
      </c>
      <c r="K26" t="s">
        <v>1375</v>
      </c>
      <c r="L26" t="s">
        <v>1281</v>
      </c>
      <c r="M26" s="3">
        <v>0</v>
      </c>
      <c r="N26" s="3">
        <v>12.61</v>
      </c>
      <c r="O26" s="10">
        <f t="shared" si="0"/>
        <v>10369.190000000006</v>
      </c>
      <c r="P26" t="s">
        <v>23</v>
      </c>
      <c r="Q26" t="s">
        <v>1276</v>
      </c>
    </row>
    <row r="27" spans="1:17">
      <c r="A27" s="6" t="s">
        <v>15</v>
      </c>
      <c r="B27" t="s">
        <v>1263</v>
      </c>
      <c r="C27" s="2">
        <v>54328.87</v>
      </c>
      <c r="D27" s="1">
        <v>45950</v>
      </c>
      <c r="E27" s="1">
        <v>45950</v>
      </c>
      <c r="F27" t="s">
        <v>1376</v>
      </c>
      <c r="H27" t="s">
        <v>1377</v>
      </c>
      <c r="I27" t="s">
        <v>1378</v>
      </c>
      <c r="J27" t="s">
        <v>1379</v>
      </c>
      <c r="K27" t="s">
        <v>1380</v>
      </c>
      <c r="L27" t="s">
        <v>1281</v>
      </c>
      <c r="M27" s="3">
        <v>0</v>
      </c>
      <c r="N27" s="3">
        <v>15.12</v>
      </c>
      <c r="O27" s="10">
        <f t="shared" si="0"/>
        <v>10354.070000000005</v>
      </c>
      <c r="P27" t="s">
        <v>23</v>
      </c>
      <c r="Q27" t="s">
        <v>1276</v>
      </c>
    </row>
    <row r="28" spans="1:17">
      <c r="A28" s="6" t="s">
        <v>15</v>
      </c>
      <c r="B28" t="s">
        <v>1263</v>
      </c>
      <c r="C28" s="2">
        <v>54328.87</v>
      </c>
      <c r="D28" s="1">
        <v>45950</v>
      </c>
      <c r="E28" s="1">
        <v>45950</v>
      </c>
      <c r="F28" t="s">
        <v>1381</v>
      </c>
      <c r="H28" t="s">
        <v>1382</v>
      </c>
      <c r="I28" t="s">
        <v>1383</v>
      </c>
      <c r="J28" t="s">
        <v>1384</v>
      </c>
      <c r="K28" t="s">
        <v>1385</v>
      </c>
      <c r="L28" t="s">
        <v>1281</v>
      </c>
      <c r="M28" s="3">
        <v>0</v>
      </c>
      <c r="N28" s="3">
        <v>4.8099999999999996</v>
      </c>
      <c r="O28" s="10">
        <f t="shared" si="0"/>
        <v>10349.260000000006</v>
      </c>
      <c r="P28" t="s">
        <v>23</v>
      </c>
      <c r="Q28" t="s">
        <v>1276</v>
      </c>
    </row>
    <row r="29" spans="1:17">
      <c r="A29" s="6" t="s">
        <v>15</v>
      </c>
      <c r="B29" t="s">
        <v>1263</v>
      </c>
      <c r="C29" s="2">
        <v>54328.87</v>
      </c>
      <c r="D29" s="1">
        <v>45950</v>
      </c>
      <c r="E29" s="1">
        <v>45950</v>
      </c>
      <c r="F29" t="s">
        <v>1386</v>
      </c>
      <c r="H29" t="s">
        <v>1387</v>
      </c>
      <c r="I29" t="s">
        <v>1388</v>
      </c>
      <c r="J29" t="s">
        <v>1389</v>
      </c>
      <c r="K29" t="s">
        <v>1390</v>
      </c>
      <c r="L29" t="s">
        <v>1281</v>
      </c>
      <c r="M29" s="3">
        <v>0</v>
      </c>
      <c r="N29" s="3">
        <v>4.43</v>
      </c>
      <c r="O29" s="10">
        <f t="shared" si="0"/>
        <v>10344.830000000005</v>
      </c>
      <c r="P29" t="s">
        <v>23</v>
      </c>
      <c r="Q29" t="s">
        <v>1276</v>
      </c>
    </row>
    <row r="30" spans="1:17">
      <c r="A30" s="6" t="s">
        <v>15</v>
      </c>
      <c r="B30" t="s">
        <v>1263</v>
      </c>
      <c r="C30" s="2">
        <v>54328.87</v>
      </c>
      <c r="D30" s="1">
        <v>45951</v>
      </c>
      <c r="E30" s="1">
        <v>45951</v>
      </c>
      <c r="F30" t="s">
        <v>1391</v>
      </c>
      <c r="H30" t="s">
        <v>1392</v>
      </c>
      <c r="I30" t="s">
        <v>1393</v>
      </c>
      <c r="J30" t="s">
        <v>1271</v>
      </c>
      <c r="K30" t="s">
        <v>1394</v>
      </c>
      <c r="L30" t="s">
        <v>1272</v>
      </c>
      <c r="M30" s="3">
        <v>16.52</v>
      </c>
      <c r="N30" s="3">
        <v>0</v>
      </c>
      <c r="O30" s="10">
        <f t="shared" si="0"/>
        <v>10361.350000000006</v>
      </c>
      <c r="P30" t="s">
        <v>23</v>
      </c>
      <c r="Q30" t="s">
        <v>1395</v>
      </c>
    </row>
    <row r="31" spans="1:17">
      <c r="A31" s="6" t="s">
        <v>15</v>
      </c>
      <c r="B31" t="s">
        <v>1263</v>
      </c>
      <c r="C31" s="2">
        <v>54328.87</v>
      </c>
      <c r="D31" s="1">
        <v>45952</v>
      </c>
      <c r="E31" s="1">
        <v>45952</v>
      </c>
      <c r="F31" t="s">
        <v>126</v>
      </c>
      <c r="H31" t="s">
        <v>127</v>
      </c>
      <c r="I31" t="s">
        <v>128</v>
      </c>
      <c r="J31" t="s">
        <v>1278</v>
      </c>
      <c r="K31" t="s">
        <v>1396</v>
      </c>
      <c r="L31" t="s">
        <v>1265</v>
      </c>
      <c r="M31" s="3">
        <v>0</v>
      </c>
      <c r="N31" s="3">
        <v>14840.51</v>
      </c>
      <c r="O31" s="10">
        <f t="shared" si="0"/>
        <v>-4479.1599999999944</v>
      </c>
      <c r="P31" t="s">
        <v>23</v>
      </c>
      <c r="Q31" t="s">
        <v>1276</v>
      </c>
    </row>
    <row r="32" spans="1:17">
      <c r="A32" s="6" t="s">
        <v>15</v>
      </c>
      <c r="B32" t="s">
        <v>1263</v>
      </c>
      <c r="C32" s="2">
        <v>54328.87</v>
      </c>
      <c r="D32" s="1">
        <v>45953</v>
      </c>
      <c r="E32" s="1">
        <v>45953</v>
      </c>
      <c r="F32" t="s">
        <v>1397</v>
      </c>
      <c r="H32" t="s">
        <v>192</v>
      </c>
      <c r="I32" t="s">
        <v>193</v>
      </c>
      <c r="J32" t="s">
        <v>1300</v>
      </c>
      <c r="K32" t="s">
        <v>1398</v>
      </c>
      <c r="L32" t="s">
        <v>1301</v>
      </c>
      <c r="M32" s="3">
        <v>2500</v>
      </c>
      <c r="N32" s="3">
        <v>0</v>
      </c>
      <c r="O32" s="10">
        <f t="shared" si="0"/>
        <v>-1979.1599999999944</v>
      </c>
      <c r="P32" t="s">
        <v>23</v>
      </c>
      <c r="Q32" t="s">
        <v>1302</v>
      </c>
    </row>
    <row r="33" spans="1:17">
      <c r="A33" s="6" t="s">
        <v>15</v>
      </c>
      <c r="B33" t="s">
        <v>1263</v>
      </c>
      <c r="C33" s="2">
        <v>54328.87</v>
      </c>
      <c r="D33" s="1">
        <v>45954</v>
      </c>
      <c r="E33" s="1">
        <v>45954</v>
      </c>
      <c r="F33" t="s">
        <v>119</v>
      </c>
      <c r="H33" t="s">
        <v>1399</v>
      </c>
      <c r="I33" t="s">
        <v>121</v>
      </c>
      <c r="J33" t="s">
        <v>1310</v>
      </c>
      <c r="K33" t="s">
        <v>1400</v>
      </c>
      <c r="L33" t="s">
        <v>1265</v>
      </c>
      <c r="M33" s="3">
        <v>0</v>
      </c>
      <c r="N33" s="3">
        <v>19538.3</v>
      </c>
      <c r="O33" s="10">
        <f t="shared" si="0"/>
        <v>-21517.459999999992</v>
      </c>
      <c r="P33" t="s">
        <v>23</v>
      </c>
      <c r="Q33" t="s">
        <v>1276</v>
      </c>
    </row>
    <row r="34" spans="1:17">
      <c r="A34" s="6" t="s">
        <v>15</v>
      </c>
      <c r="B34" t="s">
        <v>1263</v>
      </c>
      <c r="C34" s="2">
        <v>54328.87</v>
      </c>
      <c r="D34" s="1">
        <v>45957</v>
      </c>
      <c r="E34" s="1">
        <v>45957</v>
      </c>
      <c r="H34" t="s">
        <v>1302</v>
      </c>
      <c r="I34" t="s">
        <v>193</v>
      </c>
      <c r="J34" t="s">
        <v>1300</v>
      </c>
      <c r="K34" t="s">
        <v>1401</v>
      </c>
      <c r="L34" t="s">
        <v>1402</v>
      </c>
      <c r="M34" s="3">
        <v>25000</v>
      </c>
      <c r="N34" s="3">
        <v>0</v>
      </c>
      <c r="O34" s="10">
        <f t="shared" si="0"/>
        <v>3482.5400000000081</v>
      </c>
      <c r="P34" t="s">
        <v>23</v>
      </c>
      <c r="Q34" t="s">
        <v>1302</v>
      </c>
    </row>
    <row r="35" spans="1:17">
      <c r="A35" s="6" t="s">
        <v>15</v>
      </c>
      <c r="B35" t="s">
        <v>1263</v>
      </c>
      <c r="C35" s="2">
        <v>54328.87</v>
      </c>
      <c r="D35" s="1">
        <v>45958</v>
      </c>
      <c r="E35" s="1">
        <v>45958</v>
      </c>
      <c r="F35" t="s">
        <v>1403</v>
      </c>
      <c r="H35" t="s">
        <v>1404</v>
      </c>
      <c r="I35" t="s">
        <v>1405</v>
      </c>
      <c r="J35" t="s">
        <v>1406</v>
      </c>
      <c r="K35" t="s">
        <v>1407</v>
      </c>
      <c r="L35" t="s">
        <v>1272</v>
      </c>
      <c r="M35" s="3">
        <v>25304.639999999999</v>
      </c>
      <c r="N35" s="3">
        <v>0</v>
      </c>
      <c r="O35" s="10">
        <f t="shared" si="0"/>
        <v>28787.180000000008</v>
      </c>
      <c r="P35" t="s">
        <v>23</v>
      </c>
      <c r="Q35" t="s">
        <v>1408</v>
      </c>
    </row>
    <row r="36" spans="1:17">
      <c r="A36" s="6" t="s">
        <v>15</v>
      </c>
      <c r="B36" t="s">
        <v>1263</v>
      </c>
      <c r="C36" s="2">
        <v>54328.87</v>
      </c>
      <c r="D36" s="1">
        <v>45958</v>
      </c>
      <c r="E36" s="1">
        <v>45958</v>
      </c>
      <c r="F36" t="s">
        <v>67</v>
      </c>
      <c r="H36" t="s">
        <v>1409</v>
      </c>
      <c r="I36" t="s">
        <v>69</v>
      </c>
      <c r="J36" t="s">
        <v>1410</v>
      </c>
      <c r="K36" t="s">
        <v>1411</v>
      </c>
      <c r="L36" t="s">
        <v>1265</v>
      </c>
      <c r="M36" s="3">
        <v>2783.98</v>
      </c>
      <c r="N36" s="3">
        <v>0</v>
      </c>
      <c r="O36" s="10">
        <f t="shared" si="0"/>
        <v>31571.160000000007</v>
      </c>
      <c r="P36" t="s">
        <v>23</v>
      </c>
      <c r="Q36" t="s">
        <v>1276</v>
      </c>
    </row>
    <row r="37" spans="1:17">
      <c r="A37" s="6" t="s">
        <v>15</v>
      </c>
      <c r="B37" t="s">
        <v>1263</v>
      </c>
      <c r="C37" s="2">
        <v>54328.87</v>
      </c>
      <c r="D37" s="1">
        <v>45960</v>
      </c>
      <c r="E37" s="1">
        <v>45960</v>
      </c>
      <c r="F37" t="s">
        <v>1412</v>
      </c>
      <c r="H37" t="s">
        <v>43</v>
      </c>
      <c r="I37" t="s">
        <v>74</v>
      </c>
      <c r="J37" t="s">
        <v>1314</v>
      </c>
      <c r="K37" t="s">
        <v>1413</v>
      </c>
      <c r="L37" t="s">
        <v>1281</v>
      </c>
      <c r="M37" s="3">
        <v>0</v>
      </c>
      <c r="N37" s="3">
        <v>49.08</v>
      </c>
      <c r="O37" s="10">
        <f t="shared" si="0"/>
        <v>31522.080000000005</v>
      </c>
      <c r="P37" t="s">
        <v>23</v>
      </c>
      <c r="Q37" t="s">
        <v>1266</v>
      </c>
    </row>
    <row r="38" spans="1:17">
      <c r="A38" s="6" t="s">
        <v>15</v>
      </c>
      <c r="B38" t="s">
        <v>1263</v>
      </c>
      <c r="C38" s="2">
        <v>54328.87</v>
      </c>
      <c r="D38" s="1">
        <v>45960</v>
      </c>
      <c r="E38" s="1">
        <v>45960</v>
      </c>
      <c r="H38" t="s">
        <v>1302</v>
      </c>
      <c r="I38" t="s">
        <v>193</v>
      </c>
      <c r="J38" t="s">
        <v>1300</v>
      </c>
      <c r="K38" t="s">
        <v>1414</v>
      </c>
      <c r="L38" t="s">
        <v>1402</v>
      </c>
      <c r="M38" s="3">
        <v>150000</v>
      </c>
      <c r="N38" s="3">
        <v>0</v>
      </c>
      <c r="O38" s="10">
        <f t="shared" si="0"/>
        <v>181522.08000000002</v>
      </c>
      <c r="P38" t="s">
        <v>23</v>
      </c>
      <c r="Q38" t="s">
        <v>1302</v>
      </c>
    </row>
    <row r="39" spans="1:17">
      <c r="A39" s="6" t="s">
        <v>15</v>
      </c>
      <c r="B39" t="s">
        <v>1263</v>
      </c>
      <c r="C39" s="2">
        <v>54328.87</v>
      </c>
      <c r="D39" s="1">
        <v>45961</v>
      </c>
      <c r="E39" s="1">
        <v>45961</v>
      </c>
      <c r="F39" t="s">
        <v>1415</v>
      </c>
      <c r="H39" t="s">
        <v>43</v>
      </c>
      <c r="I39" t="s">
        <v>697</v>
      </c>
      <c r="J39" t="s">
        <v>1416</v>
      </c>
      <c r="K39" t="s">
        <v>1417</v>
      </c>
      <c r="L39" t="s">
        <v>1281</v>
      </c>
      <c r="M39" s="3">
        <v>0</v>
      </c>
      <c r="N39" s="3">
        <v>86933.58</v>
      </c>
      <c r="O39" s="10">
        <f t="shared" si="0"/>
        <v>94588.500000000015</v>
      </c>
      <c r="P39" t="s">
        <v>23</v>
      </c>
      <c r="Q39" t="s">
        <v>1266</v>
      </c>
    </row>
    <row r="40" spans="1:17">
      <c r="A40" s="6" t="s">
        <v>15</v>
      </c>
      <c r="B40" t="s">
        <v>1263</v>
      </c>
      <c r="C40" s="2">
        <v>54328.87</v>
      </c>
      <c r="D40" s="1">
        <v>45961</v>
      </c>
      <c r="E40" s="1">
        <v>45961</v>
      </c>
      <c r="F40" t="s">
        <v>1418</v>
      </c>
      <c r="H40" t="s">
        <v>43</v>
      </c>
      <c r="I40" t="s">
        <v>158</v>
      </c>
      <c r="J40" t="s">
        <v>1356</v>
      </c>
      <c r="K40" t="s">
        <v>1419</v>
      </c>
      <c r="L40" t="s">
        <v>1281</v>
      </c>
      <c r="M40" s="3">
        <v>0</v>
      </c>
      <c r="N40" s="3">
        <v>1100.22</v>
      </c>
      <c r="O40" s="10">
        <f t="shared" si="0"/>
        <v>93488.280000000013</v>
      </c>
      <c r="P40" t="s">
        <v>23</v>
      </c>
      <c r="Q40" t="s">
        <v>1266</v>
      </c>
    </row>
    <row r="41" spans="1:17">
      <c r="A41" s="6" t="s">
        <v>15</v>
      </c>
      <c r="B41" t="s">
        <v>1263</v>
      </c>
      <c r="C41" s="2">
        <v>54328.87</v>
      </c>
      <c r="D41" s="1">
        <v>45961</v>
      </c>
      <c r="E41" s="1">
        <v>45961</v>
      </c>
      <c r="F41" t="s">
        <v>1420</v>
      </c>
      <c r="H41" t="s">
        <v>43</v>
      </c>
      <c r="I41" t="s">
        <v>1421</v>
      </c>
      <c r="J41" t="s">
        <v>1368</v>
      </c>
      <c r="K41" t="s">
        <v>1422</v>
      </c>
      <c r="L41" t="s">
        <v>1281</v>
      </c>
      <c r="M41" s="3">
        <v>0</v>
      </c>
      <c r="N41" s="3">
        <v>54.58</v>
      </c>
      <c r="O41" s="10">
        <f t="shared" si="0"/>
        <v>93433.700000000012</v>
      </c>
      <c r="P41" t="s">
        <v>23</v>
      </c>
      <c r="Q41" t="s">
        <v>1266</v>
      </c>
    </row>
    <row r="42" spans="1:17">
      <c r="A42" s="6" t="s">
        <v>15</v>
      </c>
      <c r="B42" t="s">
        <v>1263</v>
      </c>
      <c r="C42" s="2">
        <v>54328.87</v>
      </c>
      <c r="D42" s="1">
        <v>45961</v>
      </c>
      <c r="E42" s="1">
        <v>45961</v>
      </c>
      <c r="F42" t="s">
        <v>1423</v>
      </c>
      <c r="H42" t="s">
        <v>43</v>
      </c>
      <c r="I42" t="s">
        <v>1097</v>
      </c>
      <c r="J42" t="s">
        <v>1344</v>
      </c>
      <c r="K42" t="s">
        <v>1424</v>
      </c>
      <c r="L42" t="s">
        <v>1281</v>
      </c>
      <c r="M42" s="3">
        <v>0</v>
      </c>
      <c r="N42" s="3">
        <v>9605.92</v>
      </c>
      <c r="O42" s="10">
        <f t="shared" si="0"/>
        <v>83827.780000000013</v>
      </c>
      <c r="P42" t="s">
        <v>23</v>
      </c>
      <c r="Q42" t="s">
        <v>1266</v>
      </c>
    </row>
    <row r="43" spans="1:17">
      <c r="A43" s="6" t="s">
        <v>15</v>
      </c>
      <c r="B43" t="s">
        <v>1263</v>
      </c>
      <c r="C43" s="2">
        <v>54328.87</v>
      </c>
      <c r="D43" s="1">
        <v>45961</v>
      </c>
      <c r="E43" s="1">
        <v>45961</v>
      </c>
      <c r="F43" t="s">
        <v>1425</v>
      </c>
      <c r="H43" t="s">
        <v>43</v>
      </c>
      <c r="I43" t="s">
        <v>134</v>
      </c>
      <c r="J43" t="s">
        <v>1292</v>
      </c>
      <c r="K43" t="s">
        <v>1426</v>
      </c>
      <c r="L43" t="s">
        <v>1281</v>
      </c>
      <c r="M43" s="3">
        <v>0</v>
      </c>
      <c r="N43" s="3">
        <v>127.35</v>
      </c>
      <c r="O43" s="10">
        <f t="shared" si="0"/>
        <v>83700.430000000008</v>
      </c>
      <c r="P43" t="s">
        <v>23</v>
      </c>
      <c r="Q43" t="s">
        <v>1266</v>
      </c>
    </row>
    <row r="44" spans="1:17">
      <c r="A44" s="6" t="s">
        <v>15</v>
      </c>
      <c r="B44" t="s">
        <v>1263</v>
      </c>
      <c r="C44" s="2">
        <v>54328.87</v>
      </c>
      <c r="D44" s="1">
        <v>45961</v>
      </c>
      <c r="E44" s="1">
        <v>45961</v>
      </c>
      <c r="F44" t="s">
        <v>1427</v>
      </c>
      <c r="H44" t="s">
        <v>43</v>
      </c>
      <c r="I44" t="s">
        <v>1428</v>
      </c>
      <c r="J44" t="s">
        <v>1429</v>
      </c>
      <c r="K44" t="s">
        <v>1430</v>
      </c>
      <c r="L44" t="s">
        <v>1281</v>
      </c>
      <c r="M44" s="3">
        <v>0</v>
      </c>
      <c r="N44" s="3">
        <v>109.16</v>
      </c>
      <c r="O44" s="10">
        <f t="shared" si="0"/>
        <v>83591.27</v>
      </c>
      <c r="P44" t="s">
        <v>23</v>
      </c>
      <c r="Q44" t="s">
        <v>1266</v>
      </c>
    </row>
    <row r="45" spans="1:17">
      <c r="A45" s="6" t="s">
        <v>15</v>
      </c>
      <c r="B45" t="s">
        <v>1263</v>
      </c>
      <c r="C45" s="2">
        <v>54328.87</v>
      </c>
      <c r="D45" s="1">
        <v>45961</v>
      </c>
      <c r="E45" s="1">
        <v>45961</v>
      </c>
      <c r="F45" t="s">
        <v>1431</v>
      </c>
      <c r="H45" t="s">
        <v>43</v>
      </c>
      <c r="I45" t="s">
        <v>717</v>
      </c>
      <c r="J45" t="s">
        <v>1365</v>
      </c>
      <c r="K45" t="s">
        <v>1432</v>
      </c>
      <c r="L45" t="s">
        <v>1281</v>
      </c>
      <c r="M45" s="3">
        <v>0</v>
      </c>
      <c r="N45" s="3">
        <v>236.51</v>
      </c>
      <c r="O45" s="10">
        <f t="shared" si="0"/>
        <v>83354.760000000009</v>
      </c>
      <c r="P45" t="s">
        <v>23</v>
      </c>
      <c r="Q45" t="s">
        <v>1266</v>
      </c>
    </row>
    <row r="46" spans="1:17">
      <c r="A46" s="6" t="s">
        <v>15</v>
      </c>
      <c r="B46" t="s">
        <v>1263</v>
      </c>
      <c r="C46" s="2">
        <v>54328.87</v>
      </c>
      <c r="D46" s="1">
        <v>45961</v>
      </c>
      <c r="E46" s="1">
        <v>45961</v>
      </c>
      <c r="F46" t="s">
        <v>1433</v>
      </c>
      <c r="H46" t="s">
        <v>43</v>
      </c>
      <c r="I46" t="s">
        <v>93</v>
      </c>
      <c r="J46" t="s">
        <v>1299</v>
      </c>
      <c r="K46" t="s">
        <v>1434</v>
      </c>
      <c r="L46" t="s">
        <v>1281</v>
      </c>
      <c r="M46" s="3">
        <v>0</v>
      </c>
      <c r="N46" s="3">
        <v>6149.24</v>
      </c>
      <c r="O46" s="10">
        <f t="shared" si="0"/>
        <v>77205.52</v>
      </c>
      <c r="P46" t="s">
        <v>23</v>
      </c>
      <c r="Q46" t="s">
        <v>1266</v>
      </c>
    </row>
    <row r="47" spans="1:17">
      <c r="A47" s="6" t="s">
        <v>15</v>
      </c>
      <c r="B47" t="s">
        <v>1263</v>
      </c>
      <c r="C47" s="2">
        <v>54328.87</v>
      </c>
      <c r="D47" s="1">
        <v>45961</v>
      </c>
      <c r="E47" s="1">
        <v>45961</v>
      </c>
      <c r="F47" t="s">
        <v>1435</v>
      </c>
      <c r="H47" t="s">
        <v>43</v>
      </c>
      <c r="I47" t="s">
        <v>93</v>
      </c>
      <c r="J47" t="s">
        <v>1299</v>
      </c>
      <c r="K47" t="s">
        <v>1436</v>
      </c>
      <c r="L47" t="s">
        <v>1281</v>
      </c>
      <c r="M47" s="3">
        <v>0</v>
      </c>
      <c r="N47" s="3">
        <v>2280.6</v>
      </c>
      <c r="O47" s="10">
        <f t="shared" si="0"/>
        <v>74924.92</v>
      </c>
      <c r="P47" t="s">
        <v>23</v>
      </c>
      <c r="Q47" t="s">
        <v>1266</v>
      </c>
    </row>
    <row r="48" spans="1:17">
      <c r="A48" s="6" t="s">
        <v>15</v>
      </c>
      <c r="B48" t="s">
        <v>1263</v>
      </c>
      <c r="C48" s="2">
        <v>54328.87</v>
      </c>
      <c r="D48" s="1">
        <v>45961</v>
      </c>
      <c r="E48" s="1">
        <v>45961</v>
      </c>
      <c r="F48" t="s">
        <v>1437</v>
      </c>
      <c r="H48" t="s">
        <v>43</v>
      </c>
      <c r="I48" t="s">
        <v>1438</v>
      </c>
      <c r="J48" t="s">
        <v>1439</v>
      </c>
      <c r="K48" t="s">
        <v>1440</v>
      </c>
      <c r="L48" t="s">
        <v>1281</v>
      </c>
      <c r="M48" s="3">
        <v>0</v>
      </c>
      <c r="N48" s="3">
        <v>1273.51</v>
      </c>
      <c r="O48" s="10">
        <f t="shared" si="0"/>
        <v>73651.41</v>
      </c>
      <c r="P48" t="s">
        <v>23</v>
      </c>
      <c r="Q48" t="s">
        <v>1266</v>
      </c>
    </row>
    <row r="49" spans="1:17">
      <c r="A49" s="6" t="s">
        <v>15</v>
      </c>
      <c r="B49" t="s">
        <v>1263</v>
      </c>
      <c r="C49" s="2">
        <v>54328.87</v>
      </c>
      <c r="D49" s="1">
        <v>45961</v>
      </c>
      <c r="E49" s="1">
        <v>45961</v>
      </c>
      <c r="F49" t="s">
        <v>1441</v>
      </c>
      <c r="H49" t="s">
        <v>43</v>
      </c>
      <c r="I49" t="s">
        <v>1442</v>
      </c>
      <c r="J49" t="s">
        <v>1443</v>
      </c>
      <c r="K49" t="s">
        <v>1444</v>
      </c>
      <c r="L49" t="s">
        <v>1281</v>
      </c>
      <c r="M49" s="3">
        <v>0</v>
      </c>
      <c r="N49" s="3">
        <v>613.11</v>
      </c>
      <c r="O49" s="10">
        <f t="shared" si="0"/>
        <v>73038.3</v>
      </c>
      <c r="P49" t="s">
        <v>23</v>
      </c>
      <c r="Q49" t="s">
        <v>1266</v>
      </c>
    </row>
    <row r="50" spans="1:17">
      <c r="A50" s="6" t="s">
        <v>15</v>
      </c>
      <c r="B50" t="s">
        <v>1263</v>
      </c>
      <c r="C50" s="2">
        <v>54328.87</v>
      </c>
      <c r="D50" s="1">
        <v>45961</v>
      </c>
      <c r="E50" s="1">
        <v>45961</v>
      </c>
      <c r="F50" t="s">
        <v>1445</v>
      </c>
      <c r="H50" t="s">
        <v>43</v>
      </c>
      <c r="I50" t="s">
        <v>150</v>
      </c>
      <c r="J50" t="s">
        <v>1446</v>
      </c>
      <c r="K50" t="s">
        <v>1447</v>
      </c>
      <c r="L50" t="s">
        <v>1281</v>
      </c>
      <c r="M50" s="3">
        <v>0</v>
      </c>
      <c r="N50" s="3">
        <v>173.3</v>
      </c>
      <c r="O50" s="10">
        <f t="shared" si="0"/>
        <v>72865</v>
      </c>
      <c r="P50" t="s">
        <v>23</v>
      </c>
      <c r="Q50" t="s">
        <v>1266</v>
      </c>
    </row>
    <row r="51" spans="1:17">
      <c r="A51" s="6" t="s">
        <v>15</v>
      </c>
      <c r="B51" t="s">
        <v>1263</v>
      </c>
      <c r="C51" s="2">
        <v>54328.87</v>
      </c>
      <c r="D51" s="1">
        <v>45961</v>
      </c>
      <c r="E51" s="1">
        <v>45961</v>
      </c>
      <c r="F51" t="s">
        <v>1448</v>
      </c>
      <c r="H51" t="s">
        <v>1449</v>
      </c>
      <c r="I51" t="s">
        <v>34</v>
      </c>
      <c r="J51" t="s">
        <v>1323</v>
      </c>
      <c r="K51" t="s">
        <v>1450</v>
      </c>
      <c r="L51" t="s">
        <v>1265</v>
      </c>
      <c r="M51" s="3">
        <v>0</v>
      </c>
      <c r="N51" s="3">
        <v>51845.63</v>
      </c>
      <c r="O51" s="10">
        <f t="shared" si="0"/>
        <v>21019.370000000003</v>
      </c>
      <c r="P51" t="s">
        <v>23</v>
      </c>
      <c r="Q51" t="s">
        <v>1276</v>
      </c>
    </row>
    <row r="52" spans="1:17">
      <c r="A52" s="17" t="s">
        <v>15</v>
      </c>
      <c r="B52" s="11" t="s">
        <v>1263</v>
      </c>
      <c r="C52" s="12">
        <v>54328.87</v>
      </c>
      <c r="D52" s="13">
        <v>45961</v>
      </c>
      <c r="E52" s="13">
        <v>45961</v>
      </c>
      <c r="F52" s="11"/>
      <c r="G52" s="11"/>
      <c r="H52" s="11" t="s">
        <v>1451</v>
      </c>
      <c r="I52" s="11" t="s">
        <v>197</v>
      </c>
      <c r="J52" s="11" t="s">
        <v>1321</v>
      </c>
      <c r="K52" s="11" t="s">
        <v>1452</v>
      </c>
      <c r="L52" s="11" t="s">
        <v>1265</v>
      </c>
      <c r="M52" s="14">
        <v>0</v>
      </c>
      <c r="N52" s="14">
        <v>206.04</v>
      </c>
      <c r="O52" s="16">
        <f t="shared" si="0"/>
        <v>20813.330000000002</v>
      </c>
      <c r="P52" s="11" t="s">
        <v>23</v>
      </c>
      <c r="Q52" t="s">
        <v>1453</v>
      </c>
    </row>
    <row r="53" spans="1:17">
      <c r="H53" s="4"/>
    </row>
    <row r="54" spans="1:17">
      <c r="A54" s="6">
        <v>1110102</v>
      </c>
      <c r="B54" t="s">
        <v>1300</v>
      </c>
      <c r="C54">
        <v>139070.12</v>
      </c>
      <c r="D54" s="1">
        <v>45726</v>
      </c>
      <c r="E54" s="1">
        <v>45726</v>
      </c>
      <c r="F54" s="6">
        <v>6884</v>
      </c>
      <c r="H54" s="4" t="s">
        <v>722</v>
      </c>
      <c r="I54" s="6">
        <v>2123112</v>
      </c>
      <c r="J54" t="s">
        <v>1324</v>
      </c>
      <c r="K54" s="6">
        <v>25001734</v>
      </c>
      <c r="L54" t="s">
        <v>1265</v>
      </c>
      <c r="M54" s="3">
        <v>0</v>
      </c>
      <c r="N54" s="3">
        <v>2178.59</v>
      </c>
      <c r="O54" s="10">
        <f>C54+M54-N54</f>
        <v>136891.53</v>
      </c>
      <c r="P54" t="s">
        <v>23</v>
      </c>
      <c r="Q54" t="s">
        <v>1266</v>
      </c>
    </row>
    <row r="55" spans="1:17">
      <c r="A55" s="6">
        <v>1110102</v>
      </c>
      <c r="B55" t="s">
        <v>1300</v>
      </c>
      <c r="C55">
        <v>139070.12</v>
      </c>
      <c r="D55" s="1">
        <v>45726</v>
      </c>
      <c r="E55" s="1">
        <v>45726</v>
      </c>
      <c r="F55" s="6">
        <v>8434</v>
      </c>
      <c r="H55" s="4" t="s">
        <v>722</v>
      </c>
      <c r="I55" s="6">
        <v>2123127</v>
      </c>
      <c r="J55" t="s">
        <v>1454</v>
      </c>
      <c r="K55" s="6">
        <v>25001735</v>
      </c>
      <c r="L55" t="s">
        <v>1265</v>
      </c>
      <c r="M55" s="3">
        <v>0</v>
      </c>
      <c r="N55" s="3">
        <v>2143.4899999999998</v>
      </c>
      <c r="O55" s="10">
        <f>O54+M55-N55</f>
        <v>134748.04</v>
      </c>
      <c r="P55" t="s">
        <v>23</v>
      </c>
      <c r="Q55" t="s">
        <v>1266</v>
      </c>
    </row>
    <row r="56" spans="1:17">
      <c r="A56" s="6">
        <v>1110102</v>
      </c>
      <c r="B56" t="s">
        <v>1300</v>
      </c>
      <c r="C56">
        <v>139070.12</v>
      </c>
      <c r="D56" s="1">
        <v>45787</v>
      </c>
      <c r="E56" s="1">
        <v>45787</v>
      </c>
      <c r="F56" s="6" t="s">
        <v>1455</v>
      </c>
      <c r="H56" s="4" t="s">
        <v>43</v>
      </c>
      <c r="I56" s="6">
        <v>2112800</v>
      </c>
      <c r="J56" t="s">
        <v>1456</v>
      </c>
      <c r="K56" s="6">
        <v>25001715</v>
      </c>
      <c r="L56" t="s">
        <v>1281</v>
      </c>
      <c r="M56" s="3">
        <v>0</v>
      </c>
      <c r="N56" s="3">
        <v>309.43</v>
      </c>
      <c r="O56" s="10">
        <f t="shared" ref="O56:O66" si="1">O55+M56-N56</f>
        <v>134438.61000000002</v>
      </c>
      <c r="P56" t="s">
        <v>23</v>
      </c>
      <c r="Q56" t="s">
        <v>1266</v>
      </c>
    </row>
    <row r="57" spans="1:17">
      <c r="A57" s="6">
        <v>1110102</v>
      </c>
      <c r="B57" t="s">
        <v>1300</v>
      </c>
      <c r="C57">
        <v>139070.12</v>
      </c>
      <c r="D57" s="1">
        <v>45787</v>
      </c>
      <c r="E57" s="1">
        <v>45787</v>
      </c>
      <c r="F57" s="6" t="s">
        <v>1457</v>
      </c>
      <c r="H57" s="4" t="s">
        <v>43</v>
      </c>
      <c r="I57" s="6">
        <v>2112184</v>
      </c>
      <c r="J57" t="s">
        <v>1458</v>
      </c>
      <c r="K57" s="6">
        <v>25001716</v>
      </c>
      <c r="L57" t="s">
        <v>1281</v>
      </c>
      <c r="M57" s="3">
        <v>0</v>
      </c>
      <c r="N57" s="3">
        <v>2491.66</v>
      </c>
      <c r="O57" s="10">
        <f t="shared" si="1"/>
        <v>131946.95000000001</v>
      </c>
      <c r="P57" t="s">
        <v>23</v>
      </c>
      <c r="Q57" t="s">
        <v>1266</v>
      </c>
    </row>
    <row r="58" spans="1:17">
      <c r="A58" s="6">
        <v>1110102</v>
      </c>
      <c r="B58" t="s">
        <v>1300</v>
      </c>
      <c r="C58">
        <v>139070.12</v>
      </c>
      <c r="D58" t="s">
        <v>1358</v>
      </c>
      <c r="E58" t="s">
        <v>1358</v>
      </c>
      <c r="F58" s="6">
        <v>10073</v>
      </c>
      <c r="H58" s="4" t="s">
        <v>592</v>
      </c>
      <c r="I58" s="6">
        <v>1110101</v>
      </c>
      <c r="J58" t="s">
        <v>1263</v>
      </c>
      <c r="K58" s="6">
        <v>25001796</v>
      </c>
      <c r="L58" t="s">
        <v>1301</v>
      </c>
      <c r="M58" s="3">
        <v>0</v>
      </c>
      <c r="N58" s="3">
        <v>50000</v>
      </c>
      <c r="O58" s="10">
        <f t="shared" si="1"/>
        <v>81946.950000000012</v>
      </c>
      <c r="P58" t="s">
        <v>23</v>
      </c>
      <c r="Q58" t="s">
        <v>1302</v>
      </c>
    </row>
    <row r="59" spans="1:17">
      <c r="A59" s="6">
        <v>1110102</v>
      </c>
      <c r="B59" t="s">
        <v>1300</v>
      </c>
      <c r="C59">
        <v>139070.12</v>
      </c>
      <c r="D59" t="s">
        <v>1359</v>
      </c>
      <c r="E59" t="s">
        <v>1359</v>
      </c>
      <c r="F59" s="6" t="s">
        <v>1459</v>
      </c>
      <c r="H59" s="4" t="s">
        <v>43</v>
      </c>
      <c r="I59" s="6">
        <v>2112800</v>
      </c>
      <c r="J59" t="s">
        <v>1456</v>
      </c>
      <c r="K59" s="6">
        <v>25001817</v>
      </c>
      <c r="L59" t="s">
        <v>1281</v>
      </c>
      <c r="M59" s="3">
        <v>0</v>
      </c>
      <c r="N59" s="3">
        <v>309.43</v>
      </c>
      <c r="O59" s="10">
        <f t="shared" si="1"/>
        <v>81637.520000000019</v>
      </c>
      <c r="P59" t="s">
        <v>23</v>
      </c>
      <c r="Q59" t="s">
        <v>1266</v>
      </c>
    </row>
    <row r="60" spans="1:17">
      <c r="A60" s="6" t="s">
        <v>193</v>
      </c>
      <c r="B60" t="s">
        <v>1300</v>
      </c>
      <c r="C60" s="2">
        <v>139070.12</v>
      </c>
      <c r="D60" s="1">
        <v>45953</v>
      </c>
      <c r="E60" s="1">
        <v>45953</v>
      </c>
      <c r="F60" s="6" t="s">
        <v>1460</v>
      </c>
      <c r="H60" t="s">
        <v>1329</v>
      </c>
      <c r="I60" s="6" t="s">
        <v>738</v>
      </c>
      <c r="J60" t="s">
        <v>739</v>
      </c>
      <c r="K60" s="6" t="s">
        <v>1461</v>
      </c>
      <c r="L60" t="s">
        <v>1272</v>
      </c>
      <c r="M60" s="3">
        <v>60551.51</v>
      </c>
      <c r="N60" s="3">
        <v>0</v>
      </c>
      <c r="O60" s="10">
        <f t="shared" si="1"/>
        <v>142189.03000000003</v>
      </c>
      <c r="P60" t="s">
        <v>23</v>
      </c>
      <c r="Q60" t="s">
        <v>1462</v>
      </c>
    </row>
    <row r="61" spans="1:17">
      <c r="A61" s="6" t="s">
        <v>193</v>
      </c>
      <c r="B61" t="s">
        <v>1300</v>
      </c>
      <c r="C61" s="2">
        <v>139070.12</v>
      </c>
      <c r="D61" s="1">
        <v>45953</v>
      </c>
      <c r="E61" s="1">
        <v>45953</v>
      </c>
      <c r="F61" s="6" t="s">
        <v>1397</v>
      </c>
      <c r="H61" t="s">
        <v>192</v>
      </c>
      <c r="I61" s="6" t="s">
        <v>15</v>
      </c>
      <c r="J61" t="s">
        <v>1263</v>
      </c>
      <c r="K61" s="6" t="s">
        <v>1398</v>
      </c>
      <c r="L61" t="s">
        <v>1301</v>
      </c>
      <c r="M61" s="3">
        <v>0</v>
      </c>
      <c r="N61" s="3">
        <v>2500</v>
      </c>
      <c r="O61" s="10">
        <f t="shared" si="1"/>
        <v>139689.03000000003</v>
      </c>
      <c r="P61" t="s">
        <v>23</v>
      </c>
      <c r="Q61" t="s">
        <v>1302</v>
      </c>
    </row>
    <row r="62" spans="1:17">
      <c r="A62" s="6" t="s">
        <v>193</v>
      </c>
      <c r="B62" t="s">
        <v>1300</v>
      </c>
      <c r="C62" s="2">
        <v>139070.12</v>
      </c>
      <c r="D62" s="1">
        <v>45957</v>
      </c>
      <c r="E62" s="1">
        <v>45957</v>
      </c>
      <c r="F62" s="6"/>
      <c r="H62" t="s">
        <v>1302</v>
      </c>
      <c r="I62" s="6" t="s">
        <v>15</v>
      </c>
      <c r="J62" t="s">
        <v>1263</v>
      </c>
      <c r="K62" s="6" t="s">
        <v>1401</v>
      </c>
      <c r="L62" t="s">
        <v>1402</v>
      </c>
      <c r="M62" s="3">
        <v>0</v>
      </c>
      <c r="N62" s="3">
        <v>25000</v>
      </c>
      <c r="O62" s="10">
        <f t="shared" si="1"/>
        <v>114689.03000000003</v>
      </c>
      <c r="P62" t="s">
        <v>23</v>
      </c>
      <c r="Q62" t="s">
        <v>1302</v>
      </c>
    </row>
    <row r="63" spans="1:17">
      <c r="A63" s="6" t="s">
        <v>193</v>
      </c>
      <c r="B63" t="s">
        <v>1300</v>
      </c>
      <c r="C63" s="2">
        <v>139070.12</v>
      </c>
      <c r="D63" s="1">
        <v>45959</v>
      </c>
      <c r="E63" s="1">
        <v>45959</v>
      </c>
      <c r="F63" s="6"/>
      <c r="H63" t="s">
        <v>1463</v>
      </c>
      <c r="I63" s="6" t="s">
        <v>772</v>
      </c>
      <c r="J63" t="s">
        <v>1336</v>
      </c>
      <c r="K63" s="6" t="s">
        <v>1464</v>
      </c>
      <c r="L63" t="s">
        <v>1402</v>
      </c>
      <c r="M63" s="3">
        <v>99972.5</v>
      </c>
      <c r="N63" s="3">
        <v>0</v>
      </c>
      <c r="O63" s="10">
        <f t="shared" si="1"/>
        <v>214661.53000000003</v>
      </c>
      <c r="P63" t="s">
        <v>23</v>
      </c>
      <c r="Q63" t="s">
        <v>1465</v>
      </c>
    </row>
    <row r="64" spans="1:17">
      <c r="A64" s="6" t="s">
        <v>193</v>
      </c>
      <c r="B64" t="s">
        <v>1300</v>
      </c>
      <c r="C64" s="2">
        <v>139070.12</v>
      </c>
      <c r="D64" s="1">
        <v>45960</v>
      </c>
      <c r="E64" s="1">
        <v>45960</v>
      </c>
      <c r="F64" s="6" t="s">
        <v>1466</v>
      </c>
      <c r="H64" t="s">
        <v>1329</v>
      </c>
      <c r="I64" s="6" t="s">
        <v>738</v>
      </c>
      <c r="J64" t="s">
        <v>739</v>
      </c>
      <c r="K64" s="6" t="s">
        <v>1467</v>
      </c>
      <c r="L64" t="s">
        <v>1272</v>
      </c>
      <c r="M64" s="3">
        <v>40000</v>
      </c>
      <c r="N64" s="3">
        <v>0</v>
      </c>
      <c r="O64" s="10">
        <f t="shared" si="1"/>
        <v>254661.53000000003</v>
      </c>
      <c r="P64" t="s">
        <v>23</v>
      </c>
      <c r="Q64" t="s">
        <v>1462</v>
      </c>
    </row>
    <row r="65" spans="1:17">
      <c r="A65" s="6" t="s">
        <v>193</v>
      </c>
      <c r="B65" t="s">
        <v>1300</v>
      </c>
      <c r="C65" s="2">
        <v>139070.12</v>
      </c>
      <c r="D65" s="1">
        <v>45960</v>
      </c>
      <c r="E65" s="1">
        <v>45960</v>
      </c>
      <c r="F65" s="6"/>
      <c r="H65" t="s">
        <v>1302</v>
      </c>
      <c r="I65" s="6" t="s">
        <v>15</v>
      </c>
      <c r="J65" t="s">
        <v>1263</v>
      </c>
      <c r="K65" s="6" t="s">
        <v>1414</v>
      </c>
      <c r="L65" t="s">
        <v>1402</v>
      </c>
      <c r="M65" s="3">
        <v>0</v>
      </c>
      <c r="N65" s="3">
        <v>150000</v>
      </c>
      <c r="O65" s="10">
        <f t="shared" si="1"/>
        <v>104661.53000000003</v>
      </c>
      <c r="P65" t="s">
        <v>23</v>
      </c>
      <c r="Q65" t="s">
        <v>1302</v>
      </c>
    </row>
    <row r="66" spans="1:17">
      <c r="A66" s="17" t="s">
        <v>193</v>
      </c>
      <c r="B66" s="11" t="s">
        <v>1300</v>
      </c>
      <c r="C66" s="12">
        <v>139070.12</v>
      </c>
      <c r="D66" s="13">
        <v>45961</v>
      </c>
      <c r="E66" s="13">
        <v>45961</v>
      </c>
      <c r="F66" s="17" t="s">
        <v>1468</v>
      </c>
      <c r="G66" s="11"/>
      <c r="H66" s="11" t="s">
        <v>43</v>
      </c>
      <c r="I66" s="17" t="s">
        <v>749</v>
      </c>
      <c r="J66" s="11" t="s">
        <v>750</v>
      </c>
      <c r="K66" s="17" t="s">
        <v>1469</v>
      </c>
      <c r="L66" s="11" t="s">
        <v>1281</v>
      </c>
      <c r="M66" s="14">
        <v>0</v>
      </c>
      <c r="N66" s="14">
        <v>2281.83</v>
      </c>
      <c r="O66" s="16">
        <f t="shared" si="1"/>
        <v>102379.70000000003</v>
      </c>
      <c r="P66" s="11" t="s">
        <v>23</v>
      </c>
      <c r="Q66" t="s">
        <v>1266</v>
      </c>
    </row>
    <row r="67" spans="1:17">
      <c r="H67" s="4"/>
    </row>
    <row r="68" spans="1:17">
      <c r="H68" s="4"/>
    </row>
    <row r="69" spans="1:17">
      <c r="A69" s="6">
        <v>1110103</v>
      </c>
      <c r="B69" t="s">
        <v>1331</v>
      </c>
      <c r="C69">
        <v>1999.75</v>
      </c>
      <c r="D69" s="1">
        <v>45787</v>
      </c>
      <c r="E69" s="18">
        <v>45787</v>
      </c>
      <c r="F69" t="s">
        <v>1470</v>
      </c>
      <c r="H69" s="4" t="s">
        <v>43</v>
      </c>
      <c r="I69">
        <v>2112102</v>
      </c>
      <c r="J69" t="s">
        <v>1471</v>
      </c>
      <c r="K69">
        <v>25001714</v>
      </c>
      <c r="L69" t="s">
        <v>1281</v>
      </c>
      <c r="M69" s="3">
        <v>0</v>
      </c>
      <c r="N69" s="3">
        <v>299.81</v>
      </c>
      <c r="O69" s="10">
        <f>C69+M69-N69</f>
        <v>1699.94</v>
      </c>
      <c r="P69" t="s">
        <v>23</v>
      </c>
      <c r="Q69" t="s">
        <v>1266</v>
      </c>
    </row>
    <row r="70" spans="1:17">
      <c r="A70" s="6">
        <v>1110103</v>
      </c>
      <c r="B70" t="s">
        <v>1331</v>
      </c>
      <c r="C70">
        <v>1999.75</v>
      </c>
      <c r="D70" s="1">
        <v>45787</v>
      </c>
      <c r="E70" s="18">
        <v>45787</v>
      </c>
      <c r="F70" t="s">
        <v>1472</v>
      </c>
      <c r="H70" s="4" t="s">
        <v>43</v>
      </c>
      <c r="I70">
        <v>2112786</v>
      </c>
      <c r="J70" t="s">
        <v>1167</v>
      </c>
      <c r="K70">
        <v>25001717</v>
      </c>
      <c r="L70" t="s">
        <v>1281</v>
      </c>
      <c r="M70" s="3">
        <v>0</v>
      </c>
      <c r="N70" s="3">
        <v>6984.56</v>
      </c>
      <c r="O70" s="10">
        <f>O69+M70-N70</f>
        <v>-5284.6200000000008</v>
      </c>
      <c r="P70" t="s">
        <v>23</v>
      </c>
      <c r="Q70" t="s">
        <v>1266</v>
      </c>
    </row>
    <row r="71" spans="1:17">
      <c r="A71" s="6">
        <v>1110103</v>
      </c>
      <c r="B71" t="s">
        <v>1331</v>
      </c>
      <c r="C71">
        <v>1999.75</v>
      </c>
      <c r="D71" s="1">
        <v>45818</v>
      </c>
      <c r="E71" s="18">
        <v>45818</v>
      </c>
      <c r="H71" s="4" t="s">
        <v>592</v>
      </c>
      <c r="I71">
        <v>1110101</v>
      </c>
      <c r="J71" t="s">
        <v>1263</v>
      </c>
      <c r="K71">
        <v>25001798</v>
      </c>
      <c r="L71" t="s">
        <v>1301</v>
      </c>
      <c r="M71" s="3">
        <v>6945.78</v>
      </c>
      <c r="N71" s="3">
        <v>0</v>
      </c>
      <c r="O71" s="10">
        <f t="shared" ref="O71:O75" si="2">O70+M71-N71</f>
        <v>1661.1599999999989</v>
      </c>
      <c r="P71" t="s">
        <v>23</v>
      </c>
      <c r="Q71" t="s">
        <v>1302</v>
      </c>
    </row>
    <row r="72" spans="1:17">
      <c r="A72" s="6">
        <v>1110103</v>
      </c>
      <c r="B72" t="s">
        <v>1331</v>
      </c>
      <c r="C72">
        <v>1999.75</v>
      </c>
      <c r="D72" t="s">
        <v>1359</v>
      </c>
      <c r="E72" s="6" t="s">
        <v>1359</v>
      </c>
      <c r="F72" t="s">
        <v>1473</v>
      </c>
      <c r="H72" s="4" t="s">
        <v>43</v>
      </c>
      <c r="I72">
        <v>2112188</v>
      </c>
      <c r="J72" t="s">
        <v>1474</v>
      </c>
      <c r="K72">
        <v>25001816</v>
      </c>
      <c r="L72" t="s">
        <v>1281</v>
      </c>
      <c r="M72" s="3">
        <v>0</v>
      </c>
      <c r="N72" s="3">
        <v>4465.18</v>
      </c>
      <c r="O72" s="10">
        <f t="shared" si="2"/>
        <v>-2804.0200000000013</v>
      </c>
      <c r="P72" t="s">
        <v>23</v>
      </c>
      <c r="Q72" t="s">
        <v>1266</v>
      </c>
    </row>
    <row r="73" spans="1:17">
      <c r="A73" s="6">
        <v>1110103</v>
      </c>
      <c r="B73" t="s">
        <v>1331</v>
      </c>
      <c r="C73">
        <v>1999.75</v>
      </c>
      <c r="D73" t="s">
        <v>1370</v>
      </c>
      <c r="E73" s="6" t="s">
        <v>1370</v>
      </c>
      <c r="F73">
        <v>58403</v>
      </c>
      <c r="H73" s="4" t="s">
        <v>592</v>
      </c>
      <c r="I73">
        <v>1110101</v>
      </c>
      <c r="J73" t="s">
        <v>1263</v>
      </c>
      <c r="K73">
        <v>25001834</v>
      </c>
      <c r="L73" t="s">
        <v>1301</v>
      </c>
      <c r="M73" s="3">
        <v>4493.3599999999997</v>
      </c>
      <c r="N73" s="3">
        <v>0</v>
      </c>
      <c r="O73" s="10">
        <f t="shared" si="2"/>
        <v>1689.3399999999983</v>
      </c>
      <c r="P73" t="s">
        <v>23</v>
      </c>
      <c r="Q73" t="s">
        <v>1302</v>
      </c>
    </row>
    <row r="74" spans="1:17">
      <c r="A74" s="6" t="s">
        <v>38</v>
      </c>
      <c r="B74" t="s">
        <v>1331</v>
      </c>
      <c r="C74" s="2">
        <v>1999.75</v>
      </c>
      <c r="D74" s="1">
        <v>45961</v>
      </c>
      <c r="E74" s="18">
        <v>45961</v>
      </c>
      <c r="F74" t="s">
        <v>1475</v>
      </c>
      <c r="H74" t="s">
        <v>43</v>
      </c>
      <c r="I74" t="s">
        <v>1166</v>
      </c>
      <c r="J74" t="s">
        <v>1167</v>
      </c>
      <c r="K74" t="s">
        <v>1476</v>
      </c>
      <c r="L74" t="s">
        <v>1281</v>
      </c>
      <c r="M74" s="3">
        <v>0</v>
      </c>
      <c r="N74" s="3">
        <v>302.5</v>
      </c>
      <c r="O74" s="10">
        <f t="shared" si="2"/>
        <v>1386.8399999999983</v>
      </c>
      <c r="P74" t="s">
        <v>23</v>
      </c>
      <c r="Q74" t="s">
        <v>1266</v>
      </c>
    </row>
    <row r="75" spans="1:17">
      <c r="A75" s="17" t="s">
        <v>38</v>
      </c>
      <c r="B75" s="11" t="s">
        <v>1331</v>
      </c>
      <c r="C75" s="12">
        <v>1999.75</v>
      </c>
      <c r="D75" s="13">
        <v>45961</v>
      </c>
      <c r="E75" s="13">
        <v>45961</v>
      </c>
      <c r="F75" s="11"/>
      <c r="G75" s="11"/>
      <c r="H75" s="11" t="s">
        <v>980</v>
      </c>
      <c r="I75" s="11" t="s">
        <v>197</v>
      </c>
      <c r="J75" s="11" t="s">
        <v>1321</v>
      </c>
      <c r="K75" s="11" t="s">
        <v>1477</v>
      </c>
      <c r="L75" s="11" t="s">
        <v>1265</v>
      </c>
      <c r="M75" s="14">
        <v>0</v>
      </c>
      <c r="N75" s="14">
        <v>39.340000000000003</v>
      </c>
      <c r="O75" s="16">
        <f t="shared" si="2"/>
        <v>1347.4999999999984</v>
      </c>
      <c r="P75" s="11" t="s">
        <v>23</v>
      </c>
      <c r="Q75" s="11" t="s">
        <v>1453</v>
      </c>
    </row>
    <row r="76" spans="1:17">
      <c r="A76" s="6">
        <v>1110105</v>
      </c>
      <c r="B76" t="s">
        <v>1335</v>
      </c>
      <c r="C76">
        <v>99.59</v>
      </c>
      <c r="M76" s="3">
        <v>0</v>
      </c>
      <c r="N76" s="3">
        <v>0</v>
      </c>
      <c r="P76" t="s">
        <v>23</v>
      </c>
    </row>
    <row r="77" spans="1:17">
      <c r="A77" s="6">
        <v>1110106</v>
      </c>
      <c r="B77" t="s">
        <v>1336</v>
      </c>
      <c r="C77">
        <v>213393.73</v>
      </c>
      <c r="D77" s="1">
        <v>45879</v>
      </c>
      <c r="E77" s="1">
        <v>45879</v>
      </c>
      <c r="H77" t="s">
        <v>1478</v>
      </c>
      <c r="I77">
        <v>2112210</v>
      </c>
      <c r="J77" t="s">
        <v>1479</v>
      </c>
      <c r="K77">
        <v>25001799</v>
      </c>
      <c r="L77" t="s">
        <v>1265</v>
      </c>
      <c r="M77" s="3">
        <v>0</v>
      </c>
      <c r="N77" s="3">
        <v>225</v>
      </c>
      <c r="O77" s="10">
        <f>C77+M77-N77</f>
        <v>213168.73</v>
      </c>
      <c r="P77" t="s">
        <v>23</v>
      </c>
      <c r="Q77" t="s">
        <v>1266</v>
      </c>
    </row>
    <row r="78" spans="1:17">
      <c r="A78" s="6">
        <v>1110106</v>
      </c>
      <c r="B78" t="s">
        <v>1336</v>
      </c>
      <c r="C78">
        <v>213393.73</v>
      </c>
      <c r="D78" t="s">
        <v>1370</v>
      </c>
      <c r="E78" t="s">
        <v>1370</v>
      </c>
      <c r="H78" t="s">
        <v>1480</v>
      </c>
      <c r="I78">
        <v>2112238</v>
      </c>
      <c r="J78" t="s">
        <v>1481</v>
      </c>
      <c r="K78">
        <v>25001832</v>
      </c>
      <c r="L78" t="s">
        <v>1265</v>
      </c>
      <c r="M78" s="3">
        <v>0</v>
      </c>
      <c r="N78" s="3">
        <v>6225</v>
      </c>
      <c r="O78" s="10">
        <f>O77+M78-N78</f>
        <v>206943.73</v>
      </c>
      <c r="P78" t="s">
        <v>23</v>
      </c>
      <c r="Q78" t="s">
        <v>1266</v>
      </c>
    </row>
    <row r="79" spans="1:17">
      <c r="A79" t="s">
        <v>772</v>
      </c>
      <c r="B79" t="s">
        <v>1336</v>
      </c>
      <c r="C79" s="2">
        <v>213393.73</v>
      </c>
      <c r="D79" s="1">
        <v>45957</v>
      </c>
      <c r="E79" s="1">
        <v>45957</v>
      </c>
      <c r="H79" t="s">
        <v>1482</v>
      </c>
      <c r="I79" t="s">
        <v>1029</v>
      </c>
      <c r="J79" t="s">
        <v>1337</v>
      </c>
      <c r="K79" t="s">
        <v>1483</v>
      </c>
      <c r="L79" t="s">
        <v>1265</v>
      </c>
      <c r="M79" s="3">
        <v>0</v>
      </c>
      <c r="N79" s="3">
        <v>13000</v>
      </c>
      <c r="O79" s="10">
        <f t="shared" ref="O79:O80" si="3">O78+M79-N79</f>
        <v>193943.73</v>
      </c>
      <c r="P79" t="s">
        <v>23</v>
      </c>
      <c r="Q79" t="s">
        <v>1484</v>
      </c>
    </row>
    <row r="80" spans="1:17">
      <c r="A80" t="s">
        <v>772</v>
      </c>
      <c r="B80" t="s">
        <v>1336</v>
      </c>
      <c r="C80" s="2">
        <v>213393.73</v>
      </c>
      <c r="D80" s="1">
        <v>45959</v>
      </c>
      <c r="E80" s="1">
        <v>45959</v>
      </c>
      <c r="H80" t="s">
        <v>1463</v>
      </c>
      <c r="I80" t="s">
        <v>193</v>
      </c>
      <c r="J80" t="s">
        <v>1300</v>
      </c>
      <c r="K80" t="s">
        <v>1464</v>
      </c>
      <c r="L80" t="s">
        <v>1402</v>
      </c>
      <c r="M80" s="3">
        <v>0</v>
      </c>
      <c r="N80" s="3">
        <v>100000</v>
      </c>
      <c r="O80" s="10">
        <f t="shared" si="3"/>
        <v>93943.73000000001</v>
      </c>
      <c r="P80" t="s">
        <v>23</v>
      </c>
      <c r="Q80" t="s">
        <v>1485</v>
      </c>
    </row>
    <row r="81" spans="1:17">
      <c r="A81" t="s">
        <v>772</v>
      </c>
      <c r="B81" t="s">
        <v>1336</v>
      </c>
      <c r="C81" s="2">
        <v>213393.73</v>
      </c>
      <c r="D81" s="1">
        <v>45960</v>
      </c>
      <c r="E81" s="1">
        <v>45960</v>
      </c>
      <c r="H81" t="s">
        <v>1486</v>
      </c>
      <c r="I81" t="s">
        <v>817</v>
      </c>
      <c r="J81" t="s">
        <v>1487</v>
      </c>
      <c r="K81" t="s">
        <v>1488</v>
      </c>
      <c r="L81" t="s">
        <v>1265</v>
      </c>
      <c r="M81" s="3">
        <v>7545.4</v>
      </c>
      <c r="N81" s="3">
        <v>0</v>
      </c>
      <c r="O81" s="10">
        <f>C81+M81-N81</f>
        <v>220939.13</v>
      </c>
      <c r="P81" t="s">
        <v>23</v>
      </c>
      <c r="Q81" t="s">
        <v>1266</v>
      </c>
    </row>
    <row r="82" spans="1:17">
      <c r="A82" t="s">
        <v>772</v>
      </c>
      <c r="B82" t="s">
        <v>1336</v>
      </c>
      <c r="C82" s="2">
        <v>213393.73</v>
      </c>
      <c r="D82" s="1">
        <v>45961</v>
      </c>
      <c r="E82" s="1">
        <v>45961</v>
      </c>
      <c r="H82" t="s">
        <v>1489</v>
      </c>
      <c r="I82" t="s">
        <v>1024</v>
      </c>
      <c r="J82" t="s">
        <v>1025</v>
      </c>
      <c r="K82" t="s">
        <v>1490</v>
      </c>
      <c r="L82" t="s">
        <v>1265</v>
      </c>
      <c r="M82" s="3">
        <v>0</v>
      </c>
      <c r="N82" s="3">
        <v>49000</v>
      </c>
      <c r="O82" s="10">
        <f>O81+M82-N82</f>
        <v>171939.13</v>
      </c>
      <c r="P82" t="s">
        <v>23</v>
      </c>
      <c r="Q82" t="s">
        <v>1266</v>
      </c>
    </row>
    <row r="83" spans="1:17" s="11" customFormat="1">
      <c r="A83" s="11" t="s">
        <v>772</v>
      </c>
      <c r="B83" s="11" t="s">
        <v>1336</v>
      </c>
      <c r="C83" s="12">
        <v>213393.73</v>
      </c>
      <c r="D83" s="13">
        <v>45961</v>
      </c>
      <c r="E83" s="13">
        <v>45961</v>
      </c>
      <c r="H83" s="11" t="s">
        <v>1013</v>
      </c>
      <c r="I83" s="11" t="s">
        <v>1014</v>
      </c>
      <c r="J83" s="11" t="s">
        <v>1481</v>
      </c>
      <c r="K83" s="11" t="s">
        <v>1491</v>
      </c>
      <c r="L83" s="11" t="s">
        <v>1265</v>
      </c>
      <c r="M83" s="14">
        <v>0</v>
      </c>
      <c r="N83" s="14">
        <v>2881.25</v>
      </c>
      <c r="O83" s="16">
        <f t="shared" ref="O83" si="4">O82+M83-N83</f>
        <v>169057.88</v>
      </c>
      <c r="P83" s="11" t="s">
        <v>23</v>
      </c>
      <c r="Q83" s="11" t="s">
        <v>1266</v>
      </c>
    </row>
    <row r="84" spans="1:17">
      <c r="A84" t="s">
        <v>1072</v>
      </c>
      <c r="B84" t="s">
        <v>1339</v>
      </c>
      <c r="C84" s="2">
        <v>266.10000000000002</v>
      </c>
      <c r="M84" s="3">
        <v>0</v>
      </c>
      <c r="N84" s="3">
        <v>0</v>
      </c>
      <c r="O84" s="19">
        <f>C84</f>
        <v>266.10000000000002</v>
      </c>
      <c r="P84" t="s">
        <v>23</v>
      </c>
    </row>
    <row r="85" spans="1:17">
      <c r="A85" t="s">
        <v>1075</v>
      </c>
      <c r="B85" t="s">
        <v>1076</v>
      </c>
      <c r="C85" s="2">
        <v>900.96</v>
      </c>
      <c r="M85" s="3">
        <v>0</v>
      </c>
      <c r="N85" s="3">
        <v>0</v>
      </c>
      <c r="O85" s="19">
        <f t="shared" ref="O85:O86" si="5">C85</f>
        <v>900.96</v>
      </c>
      <c r="P85" t="s">
        <v>23</v>
      </c>
    </row>
    <row r="86" spans="1:17">
      <c r="A86" t="s">
        <v>1150</v>
      </c>
      <c r="B86" t="s">
        <v>1340</v>
      </c>
      <c r="C86" s="2">
        <v>956.52</v>
      </c>
      <c r="M86" s="3">
        <v>0</v>
      </c>
      <c r="N86" s="3">
        <v>0</v>
      </c>
      <c r="O86" s="19">
        <f t="shared" si="5"/>
        <v>956.52</v>
      </c>
      <c r="P86" t="s">
        <v>23</v>
      </c>
    </row>
    <row r="88" spans="1:17">
      <c r="O88" s="15">
        <f>SUM(O52,O66,O75,O83,O84,O85,O86)</f>
        <v>295721.99000000005</v>
      </c>
    </row>
  </sheetData>
  <autoFilter ref="A1:P86" xr:uid="{D8957061-41E8-471F-B4DC-6092E12062B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EF8A-9047-44E1-AD14-78F4F59BDCF9}">
  <dimension ref="A1:Q42"/>
  <sheetViews>
    <sheetView topLeftCell="E1" workbookViewId="0">
      <selection activeCell="N40" sqref="N40"/>
    </sheetView>
  </sheetViews>
  <sheetFormatPr defaultRowHeight="15" customHeight="1"/>
  <cols>
    <col min="1" max="1" width="11.7109375" bestFit="1" customWidth="1"/>
    <col min="2" max="2" width="14.7109375" bestFit="1" customWidth="1"/>
    <col min="3" max="3" width="11.140625" bestFit="1" customWidth="1"/>
    <col min="4" max="4" width="15.42578125" bestFit="1" customWidth="1"/>
    <col min="5" max="5" width="11.140625" bestFit="1" customWidth="1"/>
    <col min="6" max="6" width="12.140625" customWidth="1"/>
    <col min="7" max="7" width="7.140625" bestFit="1" customWidth="1"/>
    <col min="8" max="8" width="23.5703125" customWidth="1"/>
    <col min="9" max="9" width="13.85546875" bestFit="1" customWidth="1"/>
    <col min="10" max="10" width="38.7109375" bestFit="1" customWidth="1"/>
    <col min="11" max="11" width="15.28515625" bestFit="1" customWidth="1"/>
    <col min="12" max="12" width="9.5703125" bestFit="1" customWidth="1"/>
    <col min="13" max="13" width="11" bestFit="1" customWidth="1"/>
    <col min="14" max="14" width="9.140625" bestFit="1" customWidth="1"/>
    <col min="15" max="15" width="11.140625" bestFit="1" customWidth="1"/>
    <col min="16" max="16" width="4.42578125" bestFit="1" customWidth="1"/>
  </cols>
  <sheetData>
    <row r="1" spans="1:17" ht="15" customHeight="1">
      <c r="A1" t="s">
        <v>1248</v>
      </c>
      <c r="B1" t="s">
        <v>1249</v>
      </c>
      <c r="C1" t="s">
        <v>1250</v>
      </c>
      <c r="D1" t="s">
        <v>1251</v>
      </c>
      <c r="E1" t="s">
        <v>1252</v>
      </c>
      <c r="F1" t="s">
        <v>1253</v>
      </c>
      <c r="G1" t="s">
        <v>1254</v>
      </c>
      <c r="H1" t="s">
        <v>1255</v>
      </c>
      <c r="I1" t="s">
        <v>1256</v>
      </c>
      <c r="J1" t="s">
        <v>1257</v>
      </c>
      <c r="K1" t="s">
        <v>1258</v>
      </c>
      <c r="L1" t="s">
        <v>1259</v>
      </c>
      <c r="M1" t="s">
        <v>1260</v>
      </c>
      <c r="N1" t="s">
        <v>1261</v>
      </c>
      <c r="O1" t="s">
        <v>1492</v>
      </c>
      <c r="P1" t="s">
        <v>1342</v>
      </c>
    </row>
    <row r="2" spans="1:17" ht="15" customHeight="1">
      <c r="A2">
        <v>1110101</v>
      </c>
      <c r="B2" s="4" t="s">
        <v>16</v>
      </c>
      <c r="C2">
        <v>21403.32</v>
      </c>
      <c r="D2" s="1">
        <v>45963</v>
      </c>
      <c r="E2" s="1">
        <v>45963</v>
      </c>
      <c r="F2">
        <v>7604</v>
      </c>
      <c r="H2" s="4" t="s">
        <v>18</v>
      </c>
      <c r="I2">
        <v>2123120</v>
      </c>
      <c r="J2" s="4" t="s">
        <v>26</v>
      </c>
      <c r="K2">
        <v>25001928</v>
      </c>
      <c r="L2" s="4" t="s">
        <v>22</v>
      </c>
      <c r="M2" s="37">
        <v>0</v>
      </c>
      <c r="N2" s="40">
        <v>949.21</v>
      </c>
      <c r="O2" s="37"/>
      <c r="P2" t="s">
        <v>23</v>
      </c>
      <c r="Q2" s="21" t="s">
        <v>1493</v>
      </c>
    </row>
    <row r="3" spans="1:17" ht="15" customHeight="1">
      <c r="A3">
        <v>1110101</v>
      </c>
      <c r="B3" s="4" t="s">
        <v>16</v>
      </c>
      <c r="C3">
        <v>21403.32</v>
      </c>
      <c r="D3" s="1">
        <v>45963</v>
      </c>
      <c r="E3" s="1">
        <v>45963</v>
      </c>
      <c r="F3">
        <v>8434</v>
      </c>
      <c r="H3" s="4" t="s">
        <v>18</v>
      </c>
      <c r="I3">
        <v>2123126</v>
      </c>
      <c r="J3" s="4" t="s">
        <v>1494</v>
      </c>
      <c r="K3">
        <v>25001930</v>
      </c>
      <c r="L3" s="4" t="s">
        <v>22</v>
      </c>
      <c r="M3" s="37">
        <v>0</v>
      </c>
      <c r="N3" s="40">
        <v>11.87</v>
      </c>
      <c r="O3" s="37"/>
      <c r="P3" t="s">
        <v>23</v>
      </c>
      <c r="Q3" s="21" t="s">
        <v>1493</v>
      </c>
    </row>
    <row r="4" spans="1:17" ht="15" customHeight="1">
      <c r="A4">
        <v>1110101</v>
      </c>
      <c r="B4" s="4" t="s">
        <v>16</v>
      </c>
      <c r="C4">
        <v>21403.32</v>
      </c>
      <c r="D4" s="1">
        <v>45963</v>
      </c>
      <c r="E4" s="1">
        <v>45963</v>
      </c>
      <c r="F4">
        <v>6884</v>
      </c>
      <c r="H4" s="4" t="s">
        <v>18</v>
      </c>
      <c r="I4">
        <v>2123111</v>
      </c>
      <c r="J4" s="4" t="s">
        <v>30</v>
      </c>
      <c r="K4">
        <v>25001931</v>
      </c>
      <c r="L4" s="4" t="s">
        <v>22</v>
      </c>
      <c r="M4" s="37">
        <v>0</v>
      </c>
      <c r="N4" s="40">
        <v>3127.21</v>
      </c>
      <c r="O4" s="37"/>
      <c r="P4" t="s">
        <v>23</v>
      </c>
      <c r="Q4" s="21" t="s">
        <v>1493</v>
      </c>
    </row>
    <row r="5" spans="1:17" ht="15" customHeight="1">
      <c r="A5">
        <v>1110102</v>
      </c>
      <c r="B5" s="4" t="s">
        <v>194</v>
      </c>
      <c r="C5">
        <v>102379.7</v>
      </c>
      <c r="D5" s="1">
        <v>45963</v>
      </c>
      <c r="E5" s="1">
        <v>45963</v>
      </c>
      <c r="F5">
        <v>6884</v>
      </c>
      <c r="H5" s="4" t="s">
        <v>722</v>
      </c>
      <c r="I5">
        <v>2123112</v>
      </c>
      <c r="J5" s="4" t="s">
        <v>728</v>
      </c>
      <c r="K5">
        <v>25001924</v>
      </c>
      <c r="L5" s="4" t="s">
        <v>22</v>
      </c>
      <c r="M5" s="37">
        <v>0</v>
      </c>
      <c r="N5" s="40">
        <v>3236.76</v>
      </c>
      <c r="O5" s="37"/>
      <c r="P5" t="s">
        <v>23</v>
      </c>
      <c r="Q5" s="21" t="s">
        <v>1493</v>
      </c>
    </row>
    <row r="6" spans="1:17" ht="15" customHeight="1">
      <c r="A6">
        <v>1110102</v>
      </c>
      <c r="B6" s="4" t="s">
        <v>194</v>
      </c>
      <c r="C6">
        <v>102379.7</v>
      </c>
      <c r="D6" s="1">
        <v>45963</v>
      </c>
      <c r="E6" s="1">
        <v>45963</v>
      </c>
      <c r="F6">
        <v>8434</v>
      </c>
      <c r="H6" s="4" t="s">
        <v>722</v>
      </c>
      <c r="I6">
        <v>2123127</v>
      </c>
      <c r="J6" s="4" t="s">
        <v>1517</v>
      </c>
      <c r="K6">
        <v>25001925</v>
      </c>
      <c r="L6" s="4" t="s">
        <v>22</v>
      </c>
      <c r="M6" s="37">
        <v>0</v>
      </c>
      <c r="N6" s="40">
        <v>178.5</v>
      </c>
      <c r="O6" s="37"/>
      <c r="P6" t="s">
        <v>23</v>
      </c>
      <c r="Q6" s="21" t="s">
        <v>1493</v>
      </c>
    </row>
    <row r="7" spans="1:17" ht="15" customHeight="1">
      <c r="A7" s="27">
        <v>1110103</v>
      </c>
      <c r="B7" s="28" t="s">
        <v>39</v>
      </c>
      <c r="C7" s="27">
        <v>1362.98</v>
      </c>
      <c r="D7" s="30">
        <v>45963</v>
      </c>
      <c r="E7" s="30">
        <v>45963</v>
      </c>
      <c r="F7" s="27">
        <v>6884</v>
      </c>
      <c r="G7" s="27" t="s">
        <v>1515</v>
      </c>
      <c r="H7" s="28" t="s">
        <v>722</v>
      </c>
      <c r="I7" s="27">
        <v>2123113</v>
      </c>
      <c r="J7" s="28" t="s">
        <v>933</v>
      </c>
      <c r="K7" s="27">
        <v>25001926</v>
      </c>
      <c r="L7" s="28" t="s">
        <v>22</v>
      </c>
      <c r="M7" s="38">
        <v>0</v>
      </c>
      <c r="N7" s="41">
        <v>495.98</v>
      </c>
      <c r="O7" s="38">
        <v>867</v>
      </c>
      <c r="P7" s="27" t="s">
        <v>23</v>
      </c>
      <c r="Q7" s="33" t="s">
        <v>1493</v>
      </c>
    </row>
    <row r="8" spans="1:17" ht="15" customHeight="1">
      <c r="A8">
        <v>1110101</v>
      </c>
      <c r="B8" s="4" t="s">
        <v>16</v>
      </c>
      <c r="C8">
        <v>21403.32</v>
      </c>
      <c r="D8" s="1">
        <v>45964</v>
      </c>
      <c r="E8" s="1">
        <v>45964</v>
      </c>
      <c r="F8" t="s">
        <v>1495</v>
      </c>
      <c r="H8" s="4" t="s">
        <v>43</v>
      </c>
      <c r="I8">
        <v>2112805</v>
      </c>
      <c r="J8" t="s">
        <v>1496</v>
      </c>
      <c r="K8">
        <v>25001974</v>
      </c>
      <c r="L8" s="4" t="s">
        <v>47</v>
      </c>
      <c r="M8" s="37">
        <v>0</v>
      </c>
      <c r="N8" s="40">
        <v>418.44</v>
      </c>
      <c r="O8" s="37"/>
      <c r="P8" t="s">
        <v>23</v>
      </c>
      <c r="Q8" s="21" t="s">
        <v>1493</v>
      </c>
    </row>
    <row r="9" spans="1:17" ht="15" customHeight="1">
      <c r="A9">
        <v>1110102</v>
      </c>
      <c r="B9" s="4" t="s">
        <v>194</v>
      </c>
      <c r="C9">
        <v>102379.7</v>
      </c>
      <c r="D9" s="1">
        <v>45965</v>
      </c>
      <c r="E9" s="1">
        <v>45965</v>
      </c>
      <c r="F9" t="s">
        <v>1518</v>
      </c>
      <c r="H9" s="4" t="s">
        <v>43</v>
      </c>
      <c r="I9">
        <v>2112631</v>
      </c>
      <c r="J9" t="s">
        <v>743</v>
      </c>
      <c r="K9">
        <v>25001975</v>
      </c>
      <c r="L9" s="4" t="s">
        <v>47</v>
      </c>
      <c r="M9" s="37">
        <v>0</v>
      </c>
      <c r="N9" s="40">
        <v>2214</v>
      </c>
      <c r="O9" s="37"/>
      <c r="P9" t="s">
        <v>23</v>
      </c>
      <c r="Q9" s="21" t="s">
        <v>1493</v>
      </c>
    </row>
    <row r="10" spans="1:17" ht="15" customHeight="1">
      <c r="A10">
        <v>1110102</v>
      </c>
      <c r="B10" s="4" t="s">
        <v>194</v>
      </c>
      <c r="C10">
        <v>102379.7</v>
      </c>
      <c r="D10" s="1">
        <v>45965</v>
      </c>
      <c r="E10" s="1">
        <v>45965</v>
      </c>
      <c r="F10">
        <v>7604</v>
      </c>
      <c r="H10" s="4" t="s">
        <v>722</v>
      </c>
      <c r="I10">
        <v>2123121</v>
      </c>
      <c r="J10" s="4" t="s">
        <v>768</v>
      </c>
      <c r="K10">
        <v>25001976</v>
      </c>
      <c r="L10" s="4" t="s">
        <v>22</v>
      </c>
      <c r="M10" s="37">
        <v>0</v>
      </c>
      <c r="N10" s="40">
        <v>18.68</v>
      </c>
      <c r="O10" s="37"/>
      <c r="P10" t="s">
        <v>23</v>
      </c>
      <c r="Q10" s="21" t="s">
        <v>1493</v>
      </c>
    </row>
    <row r="11" spans="1:17" ht="15" customHeight="1">
      <c r="A11">
        <v>1110101</v>
      </c>
      <c r="B11" s="4" t="s">
        <v>16</v>
      </c>
      <c r="C11">
        <v>21403.32</v>
      </c>
      <c r="D11" s="1">
        <v>45966</v>
      </c>
      <c r="E11" s="1">
        <v>45966</v>
      </c>
      <c r="H11" s="4" t="s">
        <v>58</v>
      </c>
      <c r="I11">
        <v>1151104</v>
      </c>
      <c r="J11" s="4" t="s">
        <v>60</v>
      </c>
      <c r="K11">
        <v>25001973</v>
      </c>
      <c r="L11" s="4" t="s">
        <v>22</v>
      </c>
      <c r="M11" s="42">
        <v>11685.13</v>
      </c>
      <c r="N11" s="42">
        <v>0</v>
      </c>
      <c r="O11" s="37"/>
      <c r="P11" t="s">
        <v>23</v>
      </c>
      <c r="Q11" s="21" t="s">
        <v>1317</v>
      </c>
    </row>
    <row r="12" spans="1:17" ht="15" customHeight="1">
      <c r="A12">
        <v>1110101</v>
      </c>
      <c r="B12" s="4" t="s">
        <v>16</v>
      </c>
      <c r="C12">
        <v>21403.32</v>
      </c>
      <c r="D12" s="1">
        <v>45971</v>
      </c>
      <c r="E12" s="1">
        <v>45971</v>
      </c>
      <c r="F12">
        <v>88367305</v>
      </c>
      <c r="H12" s="4" t="s">
        <v>220</v>
      </c>
      <c r="I12">
        <v>2121103</v>
      </c>
      <c r="J12" s="4" t="s">
        <v>65</v>
      </c>
      <c r="K12">
        <v>25002061</v>
      </c>
      <c r="L12" s="4" t="s">
        <v>22</v>
      </c>
      <c r="M12" s="37">
        <v>0</v>
      </c>
      <c r="N12" s="42">
        <v>21868.55</v>
      </c>
      <c r="O12" s="37"/>
      <c r="P12" t="s">
        <v>23</v>
      </c>
      <c r="Q12" s="21" t="s">
        <v>1276</v>
      </c>
    </row>
    <row r="13" spans="1:17" ht="15" customHeight="1">
      <c r="A13">
        <v>1110101</v>
      </c>
      <c r="B13" s="4" t="s">
        <v>16</v>
      </c>
      <c r="C13">
        <v>21403.32</v>
      </c>
      <c r="D13" s="1">
        <v>45973</v>
      </c>
      <c r="E13" s="1">
        <v>45973</v>
      </c>
      <c r="H13" s="4" t="s">
        <v>592</v>
      </c>
      <c r="I13">
        <v>1110102</v>
      </c>
      <c r="J13" s="4" t="s">
        <v>194</v>
      </c>
      <c r="K13">
        <v>25002062</v>
      </c>
      <c r="L13" s="4" t="s">
        <v>41</v>
      </c>
      <c r="M13" s="43">
        <v>50000</v>
      </c>
      <c r="N13" s="43">
        <v>0</v>
      </c>
      <c r="O13" s="37"/>
      <c r="P13" t="s">
        <v>23</v>
      </c>
      <c r="Q13" s="21" t="s">
        <v>1302</v>
      </c>
    </row>
    <row r="14" spans="1:17" ht="15" customHeight="1">
      <c r="A14">
        <v>1110102</v>
      </c>
      <c r="B14" s="4" t="s">
        <v>194</v>
      </c>
      <c r="C14">
        <v>102379.7</v>
      </c>
      <c r="D14" s="1">
        <v>45973</v>
      </c>
      <c r="E14" s="1">
        <v>45973</v>
      </c>
      <c r="H14" s="4" t="s">
        <v>592</v>
      </c>
      <c r="I14">
        <v>1110101</v>
      </c>
      <c r="J14" s="4" t="s">
        <v>16</v>
      </c>
      <c r="K14">
        <v>25002062</v>
      </c>
      <c r="L14" s="4" t="s">
        <v>41</v>
      </c>
      <c r="M14" s="43">
        <v>0</v>
      </c>
      <c r="N14" s="43">
        <v>50000</v>
      </c>
      <c r="O14" s="37"/>
      <c r="P14" t="s">
        <v>23</v>
      </c>
      <c r="Q14" s="21" t="s">
        <v>1302</v>
      </c>
    </row>
    <row r="15" spans="1:17" ht="15" customHeight="1">
      <c r="A15">
        <v>1110101</v>
      </c>
      <c r="B15" s="4" t="s">
        <v>16</v>
      </c>
      <c r="C15">
        <v>21403.32</v>
      </c>
      <c r="D15" s="1">
        <v>45977</v>
      </c>
      <c r="E15" s="1">
        <v>45977</v>
      </c>
      <c r="F15" t="s">
        <v>1497</v>
      </c>
      <c r="H15" s="4" t="s">
        <v>43</v>
      </c>
      <c r="I15">
        <v>2112670</v>
      </c>
      <c r="J15" s="4" t="s">
        <v>254</v>
      </c>
      <c r="K15">
        <v>25002026</v>
      </c>
      <c r="L15" s="4" t="s">
        <v>47</v>
      </c>
      <c r="M15" s="37">
        <v>0</v>
      </c>
      <c r="N15" s="42">
        <v>2395.75</v>
      </c>
      <c r="O15" s="37"/>
      <c r="P15" t="s">
        <v>23</v>
      </c>
      <c r="Q15" s="21" t="s">
        <v>1493</v>
      </c>
    </row>
    <row r="16" spans="1:17" ht="15" customHeight="1">
      <c r="A16">
        <v>1110101</v>
      </c>
      <c r="B16" s="4" t="s">
        <v>16</v>
      </c>
      <c r="C16">
        <v>21403.32</v>
      </c>
      <c r="D16" s="1">
        <v>45977</v>
      </c>
      <c r="E16" s="1">
        <v>45977</v>
      </c>
      <c r="F16" t="s">
        <v>1498</v>
      </c>
      <c r="H16" s="4" t="s">
        <v>43</v>
      </c>
      <c r="I16">
        <v>2111116</v>
      </c>
      <c r="J16" t="s">
        <v>185</v>
      </c>
      <c r="K16">
        <v>25002027</v>
      </c>
      <c r="L16" s="4" t="s">
        <v>47</v>
      </c>
      <c r="M16" s="37">
        <v>0</v>
      </c>
      <c r="N16" s="42">
        <v>2037.17</v>
      </c>
      <c r="O16" s="37"/>
      <c r="P16" t="s">
        <v>23</v>
      </c>
      <c r="Q16" s="21" t="s">
        <v>1493</v>
      </c>
    </row>
    <row r="17" spans="1:17" ht="15" customHeight="1">
      <c r="A17">
        <v>1110101</v>
      </c>
      <c r="B17" s="4" t="s">
        <v>16</v>
      </c>
      <c r="C17">
        <v>21403.32</v>
      </c>
      <c r="D17" s="1">
        <v>45977</v>
      </c>
      <c r="E17" s="1">
        <v>45977</v>
      </c>
      <c r="F17" t="s">
        <v>1499</v>
      </c>
      <c r="H17" s="4" t="s">
        <v>43</v>
      </c>
      <c r="I17">
        <v>2112731</v>
      </c>
      <c r="J17" s="4" t="s">
        <v>1500</v>
      </c>
      <c r="K17">
        <v>25002028</v>
      </c>
      <c r="L17" s="4" t="s">
        <v>47</v>
      </c>
      <c r="M17" s="37">
        <v>0</v>
      </c>
      <c r="N17" s="42">
        <v>492.43</v>
      </c>
      <c r="O17" s="37"/>
      <c r="P17" t="s">
        <v>23</v>
      </c>
      <c r="Q17" s="21" t="s">
        <v>1493</v>
      </c>
    </row>
    <row r="18" spans="1:17" ht="15" customHeight="1">
      <c r="A18">
        <v>1110101</v>
      </c>
      <c r="B18" s="4" t="s">
        <v>16</v>
      </c>
      <c r="C18">
        <v>21403.32</v>
      </c>
      <c r="D18" s="1">
        <v>45977</v>
      </c>
      <c r="E18" s="1">
        <v>45977</v>
      </c>
      <c r="F18" t="s">
        <v>1501</v>
      </c>
      <c r="H18" s="4" t="s">
        <v>43</v>
      </c>
      <c r="I18">
        <v>2112733</v>
      </c>
      <c r="J18" s="4" t="s">
        <v>468</v>
      </c>
      <c r="K18">
        <v>25002029</v>
      </c>
      <c r="L18" s="4" t="s">
        <v>47</v>
      </c>
      <c r="M18" s="37">
        <v>0</v>
      </c>
      <c r="N18" s="42">
        <v>273.57</v>
      </c>
      <c r="O18" s="37"/>
      <c r="P18" t="s">
        <v>23</v>
      </c>
      <c r="Q18" s="21" t="s">
        <v>1493</v>
      </c>
    </row>
    <row r="19" spans="1:17" ht="15" customHeight="1">
      <c r="A19">
        <v>1110101</v>
      </c>
      <c r="B19" s="4" t="s">
        <v>16</v>
      </c>
      <c r="C19">
        <v>21403.32</v>
      </c>
      <c r="D19" s="1">
        <v>45977</v>
      </c>
      <c r="E19" s="1">
        <v>45977</v>
      </c>
      <c r="F19" t="s">
        <v>1502</v>
      </c>
      <c r="H19" s="4" t="s">
        <v>43</v>
      </c>
      <c r="I19">
        <v>2112802</v>
      </c>
      <c r="J19" s="4" t="s">
        <v>1503</v>
      </c>
      <c r="K19">
        <v>25002030</v>
      </c>
      <c r="L19" s="4" t="s">
        <v>47</v>
      </c>
      <c r="M19" s="37">
        <v>0</v>
      </c>
      <c r="N19" s="42">
        <v>153.01</v>
      </c>
      <c r="O19" s="37"/>
      <c r="P19" t="s">
        <v>23</v>
      </c>
      <c r="Q19" s="21" t="s">
        <v>1493</v>
      </c>
    </row>
    <row r="20" spans="1:17" ht="15" customHeight="1">
      <c r="A20">
        <v>1110101</v>
      </c>
      <c r="B20" s="4" t="s">
        <v>16</v>
      </c>
      <c r="C20">
        <v>21403.32</v>
      </c>
      <c r="D20" s="1">
        <v>45977</v>
      </c>
      <c r="E20" s="1">
        <v>45977</v>
      </c>
      <c r="F20" t="s">
        <v>1504</v>
      </c>
      <c r="H20" s="4" t="s">
        <v>43</v>
      </c>
      <c r="I20">
        <v>2112591</v>
      </c>
      <c r="J20" s="4" t="s">
        <v>159</v>
      </c>
      <c r="K20">
        <v>25002031</v>
      </c>
      <c r="L20" s="4" t="s">
        <v>47</v>
      </c>
      <c r="M20" s="37">
        <v>0</v>
      </c>
      <c r="N20" s="42">
        <v>43.28</v>
      </c>
      <c r="O20" s="37"/>
      <c r="P20" t="s">
        <v>23</v>
      </c>
      <c r="Q20" s="21" t="s">
        <v>1493</v>
      </c>
    </row>
    <row r="21" spans="1:17" ht="15" customHeight="1">
      <c r="A21">
        <v>1110101</v>
      </c>
      <c r="B21" s="4" t="s">
        <v>16</v>
      </c>
      <c r="C21">
        <v>21403.32</v>
      </c>
      <c r="D21" s="1">
        <v>45977</v>
      </c>
      <c r="E21" s="1">
        <v>45977</v>
      </c>
      <c r="F21" t="s">
        <v>1505</v>
      </c>
      <c r="H21" s="4" t="s">
        <v>101</v>
      </c>
      <c r="I21">
        <v>2111104</v>
      </c>
      <c r="J21" s="4" t="s">
        <v>103</v>
      </c>
      <c r="K21">
        <v>25002063</v>
      </c>
      <c r="L21" s="4" t="s">
        <v>47</v>
      </c>
      <c r="M21" s="37">
        <v>0</v>
      </c>
      <c r="N21" s="42">
        <v>2841.42</v>
      </c>
      <c r="O21" s="37"/>
      <c r="P21" t="s">
        <v>23</v>
      </c>
      <c r="Q21" s="21" t="s">
        <v>1493</v>
      </c>
    </row>
    <row r="22" spans="1:17" ht="15" customHeight="1">
      <c r="A22">
        <v>1110101</v>
      </c>
      <c r="B22" s="4" t="s">
        <v>16</v>
      </c>
      <c r="C22">
        <v>21403.32</v>
      </c>
      <c r="D22" s="1">
        <v>45977</v>
      </c>
      <c r="E22" s="1">
        <v>45977</v>
      </c>
      <c r="F22" t="s">
        <v>1506</v>
      </c>
      <c r="H22" s="4" t="s">
        <v>43</v>
      </c>
      <c r="I22">
        <v>2111177</v>
      </c>
      <c r="J22" t="s">
        <v>1507</v>
      </c>
      <c r="K22">
        <v>25002064</v>
      </c>
      <c r="L22" s="4" t="s">
        <v>47</v>
      </c>
      <c r="M22" s="37">
        <v>0</v>
      </c>
      <c r="N22" s="42">
        <v>1388.71</v>
      </c>
      <c r="O22" s="37"/>
      <c r="P22" t="s">
        <v>23</v>
      </c>
      <c r="Q22" s="21" t="s">
        <v>1493</v>
      </c>
    </row>
    <row r="23" spans="1:17" ht="15" customHeight="1">
      <c r="A23">
        <v>1110101</v>
      </c>
      <c r="B23" s="4" t="s">
        <v>16</v>
      </c>
      <c r="C23">
        <v>21403.32</v>
      </c>
      <c r="D23" s="1">
        <v>45977</v>
      </c>
      <c r="E23" s="1">
        <v>45977</v>
      </c>
      <c r="F23" t="s">
        <v>1508</v>
      </c>
      <c r="H23" s="4" t="s">
        <v>43</v>
      </c>
      <c r="I23">
        <v>2111111</v>
      </c>
      <c r="J23" t="s">
        <v>75</v>
      </c>
      <c r="K23">
        <v>25002065</v>
      </c>
      <c r="L23" s="4" t="s">
        <v>47</v>
      </c>
      <c r="M23" s="37">
        <v>0</v>
      </c>
      <c r="N23" s="42">
        <v>410.2</v>
      </c>
      <c r="O23" s="37"/>
      <c r="P23" t="s">
        <v>23</v>
      </c>
      <c r="Q23" s="21" t="s">
        <v>1493</v>
      </c>
    </row>
    <row r="24" spans="1:17" ht="15" customHeight="1">
      <c r="A24">
        <v>1110102</v>
      </c>
      <c r="B24" s="4" t="s">
        <v>194</v>
      </c>
      <c r="C24">
        <v>102379.7</v>
      </c>
      <c r="D24" s="1">
        <v>45977</v>
      </c>
      <c r="E24" s="1">
        <v>45977</v>
      </c>
      <c r="F24" t="s">
        <v>1519</v>
      </c>
      <c r="H24" s="4" t="s">
        <v>43</v>
      </c>
      <c r="I24">
        <v>2112509</v>
      </c>
      <c r="J24" t="s">
        <v>750</v>
      </c>
      <c r="K24">
        <v>25002032</v>
      </c>
      <c r="L24" s="4" t="s">
        <v>47</v>
      </c>
      <c r="M24" s="37">
        <v>0</v>
      </c>
      <c r="N24" s="42">
        <v>4922.22</v>
      </c>
      <c r="O24" s="37"/>
      <c r="P24" t="s">
        <v>23</v>
      </c>
      <c r="Q24" s="21" t="s">
        <v>1493</v>
      </c>
    </row>
    <row r="25" spans="1:17" ht="15" customHeight="1">
      <c r="A25">
        <v>1110102</v>
      </c>
      <c r="B25" s="4" t="s">
        <v>194</v>
      </c>
      <c r="C25">
        <v>102379.7</v>
      </c>
      <c r="D25" s="1">
        <v>45977</v>
      </c>
      <c r="E25" s="1">
        <v>45977</v>
      </c>
      <c r="F25" t="s">
        <v>1520</v>
      </c>
      <c r="H25" s="4" t="s">
        <v>43</v>
      </c>
      <c r="I25">
        <v>2112800</v>
      </c>
      <c r="J25" t="s">
        <v>1456</v>
      </c>
      <c r="K25">
        <v>25002033</v>
      </c>
      <c r="L25" s="4" t="s">
        <v>47</v>
      </c>
      <c r="M25" s="37">
        <v>0</v>
      </c>
      <c r="N25" s="42">
        <v>1426.5</v>
      </c>
      <c r="O25" s="37"/>
      <c r="P25" t="s">
        <v>23</v>
      </c>
      <c r="Q25" s="21" t="s">
        <v>1493</v>
      </c>
    </row>
    <row r="26" spans="1:17" ht="15" customHeight="1">
      <c r="A26" s="11">
        <v>1110101</v>
      </c>
      <c r="B26" s="22" t="s">
        <v>16</v>
      </c>
      <c r="C26" s="11">
        <v>21403.32</v>
      </c>
      <c r="D26" s="13">
        <v>45980</v>
      </c>
      <c r="E26" s="13">
        <v>45980</v>
      </c>
      <c r="F26" s="11" t="s">
        <v>1509</v>
      </c>
      <c r="G26" s="11"/>
      <c r="H26" s="22" t="s">
        <v>1510</v>
      </c>
      <c r="I26" s="11">
        <v>1141100</v>
      </c>
      <c r="J26" s="22" t="s">
        <v>1511</v>
      </c>
      <c r="K26" s="11">
        <v>25002206</v>
      </c>
      <c r="L26" s="22" t="s">
        <v>144</v>
      </c>
      <c r="M26" s="44">
        <v>34.57</v>
      </c>
      <c r="N26" s="39">
        <v>0</v>
      </c>
      <c r="O26" s="39"/>
      <c r="P26" s="11" t="s">
        <v>23</v>
      </c>
      <c r="Q26" s="23" t="s">
        <v>586</v>
      </c>
    </row>
    <row r="27" spans="1:17" ht="15" customHeight="1">
      <c r="A27">
        <v>1110101</v>
      </c>
      <c r="B27" s="4" t="s">
        <v>16</v>
      </c>
      <c r="C27">
        <v>21403.32</v>
      </c>
      <c r="D27" s="1">
        <v>45980</v>
      </c>
      <c r="E27" s="1">
        <v>45980</v>
      </c>
      <c r="F27" t="s">
        <v>1512</v>
      </c>
      <c r="H27" s="4" t="s">
        <v>43</v>
      </c>
      <c r="I27">
        <v>2111111</v>
      </c>
      <c r="J27" t="s">
        <v>75</v>
      </c>
      <c r="K27">
        <v>25002207</v>
      </c>
      <c r="L27" s="4" t="s">
        <v>47</v>
      </c>
      <c r="M27" s="42">
        <v>0</v>
      </c>
      <c r="N27" s="42">
        <v>90.32</v>
      </c>
      <c r="O27" s="37"/>
      <c r="P27" t="s">
        <v>23</v>
      </c>
      <c r="Q27" s="21" t="s">
        <v>1493</v>
      </c>
    </row>
    <row r="28" spans="1:17" ht="15" customHeight="1">
      <c r="A28">
        <v>1110101</v>
      </c>
      <c r="B28" s="4" t="s">
        <v>16</v>
      </c>
      <c r="C28">
        <v>21403.32</v>
      </c>
      <c r="D28" s="1">
        <v>45980</v>
      </c>
      <c r="E28" s="1">
        <v>45980</v>
      </c>
      <c r="H28" t="s">
        <v>1513</v>
      </c>
      <c r="I28">
        <v>1110111</v>
      </c>
      <c r="J28" t="s">
        <v>1076</v>
      </c>
      <c r="K28">
        <v>25002208</v>
      </c>
      <c r="L28" s="4" t="s">
        <v>41</v>
      </c>
      <c r="M28" s="43">
        <v>810</v>
      </c>
      <c r="N28" s="43">
        <v>0</v>
      </c>
      <c r="O28" s="37"/>
      <c r="P28" t="s">
        <v>23</v>
      </c>
      <c r="Q28" s="21"/>
    </row>
    <row r="29" spans="1:17" ht="15" customHeight="1">
      <c r="A29" s="27">
        <v>1110111</v>
      </c>
      <c r="B29" s="27" t="s">
        <v>1076</v>
      </c>
      <c r="C29" s="27">
        <v>816.13</v>
      </c>
      <c r="D29" s="30">
        <v>45980</v>
      </c>
      <c r="E29" s="30">
        <v>45980</v>
      </c>
      <c r="F29" s="27" t="s">
        <v>1515</v>
      </c>
      <c r="G29" s="27" t="s">
        <v>1515</v>
      </c>
      <c r="H29" s="27" t="s">
        <v>1513</v>
      </c>
      <c r="I29" s="27">
        <v>1110101</v>
      </c>
      <c r="J29" s="28" t="s">
        <v>16</v>
      </c>
      <c r="K29" s="27">
        <v>25002208</v>
      </c>
      <c r="L29" s="28" t="s">
        <v>41</v>
      </c>
      <c r="M29" s="43">
        <v>0</v>
      </c>
      <c r="N29" s="43">
        <v>810</v>
      </c>
      <c r="O29" s="38">
        <v>6.13</v>
      </c>
      <c r="P29" s="27" t="s">
        <v>23</v>
      </c>
      <c r="Q29" s="27" t="s">
        <v>1515</v>
      </c>
    </row>
    <row r="30" spans="1:17" ht="15" customHeight="1">
      <c r="A30">
        <v>1110101</v>
      </c>
      <c r="B30" s="4" t="s">
        <v>16</v>
      </c>
      <c r="C30">
        <v>21403.32</v>
      </c>
      <c r="D30" s="1">
        <v>45981</v>
      </c>
      <c r="E30" s="1">
        <v>45981</v>
      </c>
      <c r="F30">
        <v>63107080</v>
      </c>
      <c r="H30" s="4" t="s">
        <v>68</v>
      </c>
      <c r="I30">
        <v>706950</v>
      </c>
      <c r="J30" s="4" t="s">
        <v>70</v>
      </c>
      <c r="K30">
        <v>25002203</v>
      </c>
      <c r="L30" s="4" t="s">
        <v>22</v>
      </c>
      <c r="M30" s="42">
        <v>197.91</v>
      </c>
      <c r="N30" s="37">
        <v>0</v>
      </c>
      <c r="O30" s="37"/>
      <c r="P30" t="s">
        <v>23</v>
      </c>
      <c r="Q30" s="21" t="s">
        <v>1276</v>
      </c>
    </row>
    <row r="31" spans="1:17" ht="15" customHeight="1">
      <c r="A31">
        <v>1110101</v>
      </c>
      <c r="B31" s="4" t="s">
        <v>16</v>
      </c>
      <c r="C31">
        <v>21403.32</v>
      </c>
      <c r="D31" s="1">
        <v>45981</v>
      </c>
      <c r="E31" s="1">
        <v>45981</v>
      </c>
      <c r="F31">
        <v>2762995</v>
      </c>
      <c r="H31" s="4" t="s">
        <v>120</v>
      </c>
      <c r="I31">
        <v>2121101</v>
      </c>
      <c r="J31" s="4" t="s">
        <v>122</v>
      </c>
      <c r="K31">
        <v>25002204</v>
      </c>
      <c r="L31" s="4" t="s">
        <v>22</v>
      </c>
      <c r="M31" s="37">
        <v>0</v>
      </c>
      <c r="N31" s="42">
        <v>17928.2</v>
      </c>
      <c r="O31" s="37"/>
      <c r="P31" t="s">
        <v>23</v>
      </c>
      <c r="Q31" s="21" t="s">
        <v>1276</v>
      </c>
    </row>
    <row r="32" spans="1:17" ht="15" customHeight="1">
      <c r="A32">
        <v>1110101</v>
      </c>
      <c r="B32" s="4" t="s">
        <v>16</v>
      </c>
      <c r="C32">
        <v>21403.32</v>
      </c>
      <c r="D32" s="1">
        <v>45984</v>
      </c>
      <c r="E32" s="1">
        <v>45984</v>
      </c>
      <c r="F32">
        <v>38286555</v>
      </c>
      <c r="H32" s="4" t="s">
        <v>127</v>
      </c>
      <c r="I32">
        <v>2121100</v>
      </c>
      <c r="J32" s="4" t="s">
        <v>129</v>
      </c>
      <c r="K32">
        <v>25002205</v>
      </c>
      <c r="L32" s="4" t="s">
        <v>22</v>
      </c>
      <c r="M32" s="37">
        <v>0</v>
      </c>
      <c r="N32" s="42">
        <v>13335.06</v>
      </c>
      <c r="O32" s="37"/>
      <c r="P32" t="s">
        <v>23</v>
      </c>
      <c r="Q32" s="21" t="s">
        <v>1276</v>
      </c>
    </row>
    <row r="33" spans="1:17" ht="15" customHeight="1">
      <c r="A33">
        <v>1110106</v>
      </c>
      <c r="B33" s="4" t="s">
        <v>773</v>
      </c>
      <c r="C33">
        <v>49607.88</v>
      </c>
      <c r="D33" s="1">
        <v>45985</v>
      </c>
      <c r="E33" s="1">
        <v>45985</v>
      </c>
      <c r="H33" t="s">
        <v>1521</v>
      </c>
      <c r="I33">
        <v>2151104</v>
      </c>
      <c r="J33" s="4" t="s">
        <v>1235</v>
      </c>
      <c r="K33">
        <v>25002228</v>
      </c>
      <c r="L33" s="4" t="s">
        <v>22</v>
      </c>
      <c r="M33" s="37">
        <v>0</v>
      </c>
      <c r="N33" s="42">
        <v>120</v>
      </c>
      <c r="O33" s="37">
        <v>49487.88</v>
      </c>
      <c r="P33" t="s">
        <v>23</v>
      </c>
      <c r="Q33" s="21" t="s">
        <v>1493</v>
      </c>
    </row>
    <row r="34" spans="1:17" ht="15" customHeight="1">
      <c r="A34" s="27">
        <v>1110106</v>
      </c>
      <c r="B34" s="28" t="s">
        <v>773</v>
      </c>
      <c r="C34" s="27">
        <v>49607.88</v>
      </c>
      <c r="D34" s="30">
        <v>45985</v>
      </c>
      <c r="E34" s="30">
        <v>45985</v>
      </c>
      <c r="F34" s="27" t="s">
        <v>1515</v>
      </c>
      <c r="G34" s="27" t="s">
        <v>1515</v>
      </c>
      <c r="H34" s="27" t="s">
        <v>1004</v>
      </c>
      <c r="I34" s="27">
        <v>2151105</v>
      </c>
      <c r="J34" s="28" t="s">
        <v>1030</v>
      </c>
      <c r="K34" s="27">
        <v>25002229</v>
      </c>
      <c r="L34" s="28" t="s">
        <v>22</v>
      </c>
      <c r="M34" s="38">
        <v>0</v>
      </c>
      <c r="N34" s="43">
        <v>14000</v>
      </c>
      <c r="O34" s="38">
        <v>35487.879999999997</v>
      </c>
      <c r="P34" s="27" t="s">
        <v>23</v>
      </c>
      <c r="Q34" s="33" t="s">
        <v>1004</v>
      </c>
    </row>
    <row r="35" spans="1:17" ht="15" customHeight="1">
      <c r="A35">
        <v>1110102</v>
      </c>
      <c r="B35" s="4" t="s">
        <v>194</v>
      </c>
      <c r="C35">
        <v>102379.7</v>
      </c>
      <c r="D35" s="1">
        <v>45986</v>
      </c>
      <c r="E35" s="1">
        <v>45986</v>
      </c>
      <c r="F35">
        <v>7604</v>
      </c>
      <c r="H35" s="4" t="s">
        <v>726</v>
      </c>
      <c r="I35">
        <v>2123121</v>
      </c>
      <c r="J35" s="4" t="s">
        <v>768</v>
      </c>
      <c r="K35">
        <v>25002224</v>
      </c>
      <c r="L35" s="4" t="s">
        <v>22</v>
      </c>
      <c r="M35" s="37">
        <v>0</v>
      </c>
      <c r="N35" s="42">
        <v>22.19</v>
      </c>
      <c r="O35" s="37"/>
      <c r="P35" t="s">
        <v>23</v>
      </c>
      <c r="Q35" s="21" t="s">
        <v>1493</v>
      </c>
    </row>
    <row r="36" spans="1:17" ht="15" customHeight="1">
      <c r="A36" s="11">
        <v>1110101</v>
      </c>
      <c r="B36" s="22" t="s">
        <v>16</v>
      </c>
      <c r="C36" s="11">
        <v>21403.32</v>
      </c>
      <c r="D36" s="13">
        <v>45989</v>
      </c>
      <c r="E36" s="13">
        <v>45989</v>
      </c>
      <c r="F36" s="11"/>
      <c r="G36" s="11"/>
      <c r="H36" s="22" t="s">
        <v>192</v>
      </c>
      <c r="I36" s="11">
        <v>1110102</v>
      </c>
      <c r="J36" s="22" t="s">
        <v>194</v>
      </c>
      <c r="K36" s="11">
        <v>25002211</v>
      </c>
      <c r="L36" s="22" t="s">
        <v>41</v>
      </c>
      <c r="M36" s="43">
        <v>20000</v>
      </c>
      <c r="N36" s="39">
        <v>0</v>
      </c>
      <c r="O36" s="39"/>
      <c r="P36" s="11" t="s">
        <v>23</v>
      </c>
      <c r="Q36" s="23" t="s">
        <v>1302</v>
      </c>
    </row>
    <row r="37" spans="1:17" ht="15" customHeight="1">
      <c r="A37" s="11">
        <v>1110101</v>
      </c>
      <c r="B37" s="22" t="s">
        <v>16</v>
      </c>
      <c r="C37" s="11">
        <v>21403.32</v>
      </c>
      <c r="D37" s="13">
        <v>45989</v>
      </c>
      <c r="E37" s="13">
        <v>45989</v>
      </c>
      <c r="F37" s="11" t="s">
        <v>1514</v>
      </c>
      <c r="G37" s="11"/>
      <c r="H37" s="22" t="s">
        <v>43</v>
      </c>
      <c r="I37" s="11">
        <v>2111111</v>
      </c>
      <c r="J37" s="11" t="s">
        <v>75</v>
      </c>
      <c r="K37" s="11">
        <v>25002212</v>
      </c>
      <c r="L37" s="22" t="s">
        <v>47</v>
      </c>
      <c r="M37" s="39">
        <v>0</v>
      </c>
      <c r="N37" s="44">
        <v>87.68</v>
      </c>
      <c r="O37" s="39"/>
      <c r="P37" s="11" t="s">
        <v>23</v>
      </c>
      <c r="Q37" s="23" t="s">
        <v>1493</v>
      </c>
    </row>
    <row r="38" spans="1:17" ht="15" customHeight="1">
      <c r="A38" s="11">
        <v>1110102</v>
      </c>
      <c r="B38" s="22" t="s">
        <v>194</v>
      </c>
      <c r="C38" s="11">
        <v>102379.7</v>
      </c>
      <c r="D38" s="13">
        <v>45989</v>
      </c>
      <c r="E38" s="13">
        <v>45989</v>
      </c>
      <c r="F38" s="11"/>
      <c r="G38" s="11"/>
      <c r="H38" s="22" t="s">
        <v>192</v>
      </c>
      <c r="I38" s="11">
        <v>1110101</v>
      </c>
      <c r="J38" s="22" t="s">
        <v>16</v>
      </c>
      <c r="K38" s="11">
        <v>25002211</v>
      </c>
      <c r="L38" s="22" t="s">
        <v>41</v>
      </c>
      <c r="M38" s="39">
        <v>0</v>
      </c>
      <c r="N38" s="43">
        <v>20000</v>
      </c>
      <c r="O38" s="39"/>
      <c r="P38" s="11" t="s">
        <v>23</v>
      </c>
      <c r="Q38" s="23" t="s">
        <v>1302</v>
      </c>
    </row>
    <row r="39" spans="1:17" ht="15" customHeight="1">
      <c r="A39" s="27">
        <v>1110101</v>
      </c>
      <c r="B39" s="28" t="s">
        <v>16</v>
      </c>
      <c r="C39" s="27">
        <v>21403.32</v>
      </c>
      <c r="D39" s="30">
        <v>45991</v>
      </c>
      <c r="E39" s="30">
        <v>45991</v>
      </c>
      <c r="F39" s="27" t="s">
        <v>1515</v>
      </c>
      <c r="G39" s="27" t="s">
        <v>1515</v>
      </c>
      <c r="H39" s="28" t="s">
        <v>1516</v>
      </c>
      <c r="I39" s="27">
        <v>815100</v>
      </c>
      <c r="J39" s="28" t="s">
        <v>198</v>
      </c>
      <c r="K39" s="27">
        <v>25002213</v>
      </c>
      <c r="L39" s="28" t="s">
        <v>22</v>
      </c>
      <c r="M39" s="38">
        <v>0</v>
      </c>
      <c r="N39" s="38">
        <v>75.040000000000006</v>
      </c>
      <c r="O39" s="38" t="s">
        <v>1515</v>
      </c>
      <c r="P39" s="27" t="s">
        <v>23</v>
      </c>
      <c r="Q39" s="33" t="s">
        <v>1453</v>
      </c>
    </row>
    <row r="40" spans="1:17" ht="15" customHeight="1">
      <c r="A40" s="11">
        <v>1110102</v>
      </c>
      <c r="B40" s="22" t="s">
        <v>194</v>
      </c>
      <c r="C40" s="11">
        <v>102379.7</v>
      </c>
      <c r="D40" s="13">
        <v>45991</v>
      </c>
      <c r="E40" s="13">
        <v>45991</v>
      </c>
      <c r="F40" s="11">
        <v>7604</v>
      </c>
      <c r="G40" s="11" t="s">
        <v>1515</v>
      </c>
      <c r="H40" s="22" t="s">
        <v>726</v>
      </c>
      <c r="I40" s="11">
        <v>2123121</v>
      </c>
      <c r="J40" s="22" t="s">
        <v>768</v>
      </c>
      <c r="K40" s="11">
        <v>25002225</v>
      </c>
      <c r="L40" s="22" t="s">
        <v>22</v>
      </c>
      <c r="M40" s="39">
        <v>0</v>
      </c>
      <c r="N40" s="44">
        <v>318.60000000000002</v>
      </c>
      <c r="O40" s="39" t="s">
        <v>1515</v>
      </c>
      <c r="P40" s="11" t="s">
        <v>23</v>
      </c>
      <c r="Q40" s="23" t="s">
        <v>1493</v>
      </c>
    </row>
    <row r="41" spans="1:17" ht="15" customHeight="1">
      <c r="A41" s="11">
        <v>1110105</v>
      </c>
      <c r="B41" s="22" t="s">
        <v>546</v>
      </c>
      <c r="C41" s="11">
        <v>99.44</v>
      </c>
      <c r="D41" s="11" t="s">
        <v>1515</v>
      </c>
      <c r="E41" s="11" t="s">
        <v>1515</v>
      </c>
      <c r="F41" s="11" t="s">
        <v>1515</v>
      </c>
      <c r="G41" s="11" t="s">
        <v>1515</v>
      </c>
      <c r="H41" s="11" t="s">
        <v>1515</v>
      </c>
      <c r="I41" s="11" t="s">
        <v>1515</v>
      </c>
      <c r="J41" s="11" t="s">
        <v>1515</v>
      </c>
      <c r="K41" s="11" t="s">
        <v>1515</v>
      </c>
      <c r="L41" s="11" t="s">
        <v>1515</v>
      </c>
      <c r="M41" s="39">
        <v>0</v>
      </c>
      <c r="N41" s="39">
        <v>0</v>
      </c>
      <c r="O41" s="39">
        <v>99.44</v>
      </c>
      <c r="P41" s="11" t="s">
        <v>23</v>
      </c>
      <c r="Q41" s="23" t="s">
        <v>1515</v>
      </c>
    </row>
    <row r="42" spans="1:17" ht="15" customHeight="1">
      <c r="A42" s="11">
        <v>1110110</v>
      </c>
      <c r="B42" s="22" t="s">
        <v>1073</v>
      </c>
      <c r="C42" s="11">
        <v>266.88</v>
      </c>
      <c r="D42" s="11" t="s">
        <v>1515</v>
      </c>
      <c r="E42" s="11" t="s">
        <v>1515</v>
      </c>
      <c r="F42" s="11" t="s">
        <v>1515</v>
      </c>
      <c r="G42" s="11" t="s">
        <v>1515</v>
      </c>
      <c r="H42" s="11" t="s">
        <v>1515</v>
      </c>
      <c r="I42" s="11" t="s">
        <v>1515</v>
      </c>
      <c r="J42" s="11" t="s">
        <v>1515</v>
      </c>
      <c r="K42" s="11" t="s">
        <v>1515</v>
      </c>
      <c r="L42" s="11" t="s">
        <v>1515</v>
      </c>
      <c r="M42" s="39">
        <v>0</v>
      </c>
      <c r="N42" s="39">
        <v>0</v>
      </c>
      <c r="O42" s="39">
        <v>266.88</v>
      </c>
      <c r="P42" s="11" t="s">
        <v>23</v>
      </c>
      <c r="Q42" s="11" t="s">
        <v>1515</v>
      </c>
    </row>
  </sheetData>
  <autoFilter ref="A1:Q42" xr:uid="{9A29EF8A-9047-44E1-AD14-78F4F59BDCF9}">
    <sortState xmlns:xlrd2="http://schemas.microsoft.com/office/spreadsheetml/2017/richdata2" ref="A2:Q42">
      <sortCondition ref="D1:D42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1B50-8C76-4BAA-BE01-BA0FE5418F46}">
  <dimension ref="A1:Q55"/>
  <sheetViews>
    <sheetView tabSelected="1" topLeftCell="E1" workbookViewId="0">
      <selection activeCell="N30" sqref="N30"/>
    </sheetView>
  </sheetViews>
  <sheetFormatPr defaultRowHeight="15"/>
  <cols>
    <col min="1" max="1" width="11.140625" bestFit="1" customWidth="1"/>
    <col min="2" max="2" width="19.140625" bestFit="1" customWidth="1"/>
    <col min="3" max="3" width="11.140625" bestFit="1" customWidth="1"/>
    <col min="4" max="4" width="15.42578125" bestFit="1" customWidth="1"/>
    <col min="5" max="5" width="11.140625" bestFit="1" customWidth="1"/>
    <col min="6" max="7" width="7.140625" bestFit="1" customWidth="1"/>
    <col min="8" max="8" width="21.28515625" bestFit="1" customWidth="1"/>
    <col min="9" max="9" width="13.85546875" bestFit="1" customWidth="1"/>
    <col min="10" max="10" width="17.5703125" bestFit="1" customWidth="1"/>
    <col min="11" max="11" width="15.28515625" bestFit="1" customWidth="1"/>
    <col min="12" max="12" width="9.5703125" bestFit="1" customWidth="1"/>
    <col min="13" max="15" width="11.5703125" bestFit="1" customWidth="1"/>
    <col min="16" max="16" width="4.42578125" bestFit="1" customWidth="1"/>
    <col min="17" max="17" width="21.28515625" customWidth="1"/>
  </cols>
  <sheetData>
    <row r="1" spans="1:17">
      <c r="A1" t="s">
        <v>1248</v>
      </c>
      <c r="B1" t="s">
        <v>1249</v>
      </c>
      <c r="C1" t="s">
        <v>1250</v>
      </c>
      <c r="D1" t="s">
        <v>1251</v>
      </c>
      <c r="E1" t="s">
        <v>1252</v>
      </c>
      <c r="F1" t="s">
        <v>1253</v>
      </c>
      <c r="G1" t="s">
        <v>1254</v>
      </c>
      <c r="H1" t="s">
        <v>1255</v>
      </c>
      <c r="I1" t="s">
        <v>1256</v>
      </c>
      <c r="J1" t="s">
        <v>1257</v>
      </c>
      <c r="K1" t="s">
        <v>1258</v>
      </c>
      <c r="L1" t="s">
        <v>1259</v>
      </c>
      <c r="M1" t="s">
        <v>1260</v>
      </c>
      <c r="N1" t="s">
        <v>1261</v>
      </c>
      <c r="O1" t="s">
        <v>1492</v>
      </c>
      <c r="P1" t="s">
        <v>1342</v>
      </c>
    </row>
    <row r="2" spans="1:17">
      <c r="A2">
        <v>1110101</v>
      </c>
      <c r="B2" s="4" t="s">
        <v>16</v>
      </c>
      <c r="C2">
        <v>36203.81</v>
      </c>
      <c r="D2" s="1">
        <v>45992</v>
      </c>
      <c r="E2" s="1">
        <v>45992</v>
      </c>
      <c r="F2">
        <v>430153332</v>
      </c>
      <c r="H2" s="4" t="s">
        <v>1523</v>
      </c>
      <c r="I2">
        <v>2151101</v>
      </c>
      <c r="J2" s="4" t="s">
        <v>1524</v>
      </c>
      <c r="K2">
        <v>25002214</v>
      </c>
      <c r="L2" s="4" t="s">
        <v>22</v>
      </c>
      <c r="M2" s="45">
        <v>4187.5</v>
      </c>
      <c r="N2" s="3">
        <v>0</v>
      </c>
      <c r="O2" s="5">
        <f>C2+M2-N2</f>
        <v>40391.31</v>
      </c>
      <c r="P2" t="s">
        <v>23</v>
      </c>
      <c r="Q2" s="21" t="s">
        <v>1526</v>
      </c>
    </row>
    <row r="3" spans="1:17">
      <c r="A3">
        <v>1110101</v>
      </c>
      <c r="B3" s="4" t="s">
        <v>16</v>
      </c>
      <c r="C3">
        <v>36203.81</v>
      </c>
      <c r="D3" s="1">
        <v>45992</v>
      </c>
      <c r="E3" s="1">
        <v>45992</v>
      </c>
      <c r="F3">
        <v>430153976</v>
      </c>
      <c r="H3" s="4" t="s">
        <v>1523</v>
      </c>
      <c r="I3">
        <v>2151101</v>
      </c>
      <c r="J3" s="4" t="s">
        <v>1524</v>
      </c>
      <c r="K3">
        <v>25002215</v>
      </c>
      <c r="L3" s="4" t="s">
        <v>22</v>
      </c>
      <c r="M3" s="45">
        <v>5889.09</v>
      </c>
      <c r="N3" s="3">
        <v>0</v>
      </c>
      <c r="O3" s="5">
        <f>O2+M3-N3</f>
        <v>46280.399999999994</v>
      </c>
      <c r="P3" t="s">
        <v>23</v>
      </c>
      <c r="Q3" s="21" t="s">
        <v>1526</v>
      </c>
    </row>
    <row r="4" spans="1:17">
      <c r="A4">
        <v>1110101</v>
      </c>
      <c r="B4" s="4" t="s">
        <v>16</v>
      </c>
      <c r="C4">
        <v>36203.81</v>
      </c>
      <c r="D4" s="1">
        <v>45992</v>
      </c>
      <c r="E4" s="1">
        <v>45992</v>
      </c>
      <c r="F4">
        <v>430154434</v>
      </c>
      <c r="H4" s="4" t="s">
        <v>1523</v>
      </c>
      <c r="I4">
        <v>2151101</v>
      </c>
      <c r="J4" s="4" t="s">
        <v>1524</v>
      </c>
      <c r="K4">
        <v>25002216</v>
      </c>
      <c r="L4" s="4" t="s">
        <v>22</v>
      </c>
      <c r="M4" s="45">
        <v>5572.61</v>
      </c>
      <c r="N4" s="3">
        <v>0</v>
      </c>
      <c r="O4" s="5">
        <f>O3+M4-N4</f>
        <v>51853.009999999995</v>
      </c>
      <c r="P4" t="s">
        <v>23</v>
      </c>
      <c r="Q4" s="21" t="s">
        <v>1526</v>
      </c>
    </row>
    <row r="5" spans="1:17">
      <c r="A5">
        <v>1110101</v>
      </c>
      <c r="B5" s="4" t="s">
        <v>16</v>
      </c>
      <c r="C5">
        <v>36203.81</v>
      </c>
      <c r="D5" s="1">
        <v>45992</v>
      </c>
      <c r="E5" s="1">
        <v>45992</v>
      </c>
      <c r="F5">
        <v>430154251</v>
      </c>
      <c r="H5" s="4" t="s">
        <v>1523</v>
      </c>
      <c r="I5">
        <v>2151101</v>
      </c>
      <c r="J5" s="4" t="s">
        <v>1524</v>
      </c>
      <c r="K5">
        <v>25002217</v>
      </c>
      <c r="L5" s="4" t="s">
        <v>22</v>
      </c>
      <c r="M5" s="45">
        <v>6086.09</v>
      </c>
      <c r="N5" s="3">
        <v>0</v>
      </c>
      <c r="O5" s="5">
        <f>O4+M5-N5</f>
        <v>57939.099999999991</v>
      </c>
      <c r="P5" t="s">
        <v>23</v>
      </c>
      <c r="Q5" s="21" t="s">
        <v>1526</v>
      </c>
    </row>
    <row r="6" spans="1:17">
      <c r="A6">
        <v>1110101</v>
      </c>
      <c r="B6" s="4" t="s">
        <v>16</v>
      </c>
      <c r="C6">
        <v>36203.81</v>
      </c>
      <c r="D6" s="1">
        <v>45992</v>
      </c>
      <c r="E6" s="1">
        <v>45992</v>
      </c>
      <c r="F6">
        <v>430152571</v>
      </c>
      <c r="H6" s="4" t="s">
        <v>1527</v>
      </c>
      <c r="I6">
        <v>2151101</v>
      </c>
      <c r="J6" s="4" t="s">
        <v>1524</v>
      </c>
      <c r="K6">
        <v>25002218</v>
      </c>
      <c r="L6" s="4" t="s">
        <v>22</v>
      </c>
      <c r="M6" s="45">
        <v>5924.63</v>
      </c>
      <c r="N6" s="3">
        <v>0</v>
      </c>
      <c r="O6" s="5">
        <f>O5+M6-N6</f>
        <v>63863.729999999989</v>
      </c>
      <c r="P6" t="s">
        <v>23</v>
      </c>
      <c r="Q6" s="21" t="s">
        <v>1526</v>
      </c>
    </row>
    <row r="7" spans="1:17">
      <c r="A7">
        <v>1110101</v>
      </c>
      <c r="B7" s="4" t="s">
        <v>16</v>
      </c>
      <c r="C7">
        <v>36203.81</v>
      </c>
      <c r="D7" s="1">
        <v>45992</v>
      </c>
      <c r="E7" s="1">
        <v>45992</v>
      </c>
      <c r="F7">
        <v>164472248</v>
      </c>
      <c r="H7" s="4" t="s">
        <v>1528</v>
      </c>
      <c r="I7">
        <v>2122100</v>
      </c>
      <c r="J7" s="4" t="s">
        <v>35</v>
      </c>
      <c r="K7">
        <v>25002222</v>
      </c>
      <c r="L7" s="4" t="s">
        <v>22</v>
      </c>
      <c r="M7" s="3">
        <v>0</v>
      </c>
      <c r="N7" s="45">
        <v>53029.38</v>
      </c>
      <c r="O7" s="5">
        <f>O6+M7-N7</f>
        <v>10834.349999999991</v>
      </c>
      <c r="P7" t="s">
        <v>23</v>
      </c>
      <c r="Q7" s="21" t="s">
        <v>1088</v>
      </c>
    </row>
    <row r="8" spans="1:17">
      <c r="A8">
        <v>1110101</v>
      </c>
      <c r="B8" s="4" t="s">
        <v>16</v>
      </c>
      <c r="C8">
        <v>36203.81</v>
      </c>
      <c r="D8" s="1">
        <v>45993</v>
      </c>
      <c r="E8" s="1">
        <v>45993</v>
      </c>
      <c r="F8">
        <v>6884</v>
      </c>
      <c r="H8" s="4" t="s">
        <v>18</v>
      </c>
      <c r="I8">
        <v>2123111</v>
      </c>
      <c r="J8" s="4" t="s">
        <v>30</v>
      </c>
      <c r="K8">
        <v>25002219</v>
      </c>
      <c r="L8" s="4" t="s">
        <v>22</v>
      </c>
      <c r="M8" s="3">
        <v>0</v>
      </c>
      <c r="N8" s="45">
        <v>2444.4899999999998</v>
      </c>
      <c r="O8" s="5">
        <f>O7+M8-N8</f>
        <v>8389.8599999999915</v>
      </c>
      <c r="P8" t="s">
        <v>23</v>
      </c>
      <c r="Q8" s="21" t="s">
        <v>1529</v>
      </c>
    </row>
    <row r="9" spans="1:17">
      <c r="A9">
        <v>1110101</v>
      </c>
      <c r="B9" s="4" t="s">
        <v>16</v>
      </c>
      <c r="C9">
        <v>36203.81</v>
      </c>
      <c r="D9" s="1">
        <v>45993</v>
      </c>
      <c r="E9" s="1">
        <v>45993</v>
      </c>
      <c r="F9">
        <v>7604</v>
      </c>
      <c r="H9" s="4" t="s">
        <v>18</v>
      </c>
      <c r="I9">
        <v>2123120</v>
      </c>
      <c r="J9" s="4" t="s">
        <v>26</v>
      </c>
      <c r="K9">
        <v>25002220</v>
      </c>
      <c r="L9" s="4" t="s">
        <v>22</v>
      </c>
      <c r="M9" s="3">
        <v>0</v>
      </c>
      <c r="N9" s="45">
        <v>61.67</v>
      </c>
      <c r="O9" s="5">
        <f>O8+M9-N9</f>
        <v>8328.1899999999914</v>
      </c>
      <c r="P9" t="s">
        <v>23</v>
      </c>
      <c r="Q9" s="21" t="s">
        <v>1529</v>
      </c>
    </row>
    <row r="10" spans="1:17">
      <c r="A10">
        <v>1110101</v>
      </c>
      <c r="B10" s="4" t="s">
        <v>16</v>
      </c>
      <c r="C10">
        <v>36203.81</v>
      </c>
      <c r="D10" s="1">
        <v>45993</v>
      </c>
      <c r="E10" s="1">
        <v>45993</v>
      </c>
      <c r="F10">
        <v>8434</v>
      </c>
      <c r="H10" s="4" t="s">
        <v>18</v>
      </c>
      <c r="I10">
        <v>2123126</v>
      </c>
      <c r="J10" s="4" t="s">
        <v>1494</v>
      </c>
      <c r="K10">
        <v>25002221</v>
      </c>
      <c r="L10" s="4" t="s">
        <v>22</v>
      </c>
      <c r="M10" s="3">
        <v>0</v>
      </c>
      <c r="N10" s="45">
        <v>79.88</v>
      </c>
      <c r="O10" s="5">
        <f>O9+M10-N10</f>
        <v>8248.3099999999922</v>
      </c>
      <c r="P10" t="s">
        <v>23</v>
      </c>
      <c r="Q10" s="21" t="s">
        <v>1529</v>
      </c>
    </row>
    <row r="11" spans="1:17">
      <c r="A11">
        <v>1110101</v>
      </c>
      <c r="B11" s="4" t="s">
        <v>16</v>
      </c>
      <c r="C11">
        <v>36203.81</v>
      </c>
      <c r="D11" s="1">
        <v>45993</v>
      </c>
      <c r="E11" s="1">
        <v>45993</v>
      </c>
      <c r="H11" s="4" t="s">
        <v>192</v>
      </c>
      <c r="I11">
        <v>1110102</v>
      </c>
      <c r="J11" s="4" t="s">
        <v>194</v>
      </c>
      <c r="K11">
        <v>25002223</v>
      </c>
      <c r="L11" s="4" t="s">
        <v>41</v>
      </c>
      <c r="M11" s="35">
        <v>12000</v>
      </c>
      <c r="N11" s="35">
        <v>0</v>
      </c>
      <c r="O11" s="5">
        <f>O10+M11-N11</f>
        <v>20248.30999999999</v>
      </c>
      <c r="P11" t="s">
        <v>23</v>
      </c>
      <c r="Q11" s="21" t="s">
        <v>1530</v>
      </c>
    </row>
    <row r="12" spans="1:17">
      <c r="A12" t="s">
        <v>15</v>
      </c>
      <c r="B12" t="s">
        <v>16</v>
      </c>
      <c r="C12" s="2">
        <v>36203.81</v>
      </c>
      <c r="D12" s="1">
        <v>45993</v>
      </c>
      <c r="E12" s="1">
        <v>45993</v>
      </c>
      <c r="F12" t="s">
        <v>1531</v>
      </c>
      <c r="H12" t="s">
        <v>43</v>
      </c>
      <c r="I12" t="s">
        <v>1097</v>
      </c>
      <c r="J12" t="s">
        <v>1098</v>
      </c>
      <c r="K12" t="s">
        <v>1532</v>
      </c>
      <c r="L12" t="s">
        <v>47</v>
      </c>
      <c r="M12" s="3">
        <v>0</v>
      </c>
      <c r="N12" s="45">
        <v>19129.259999999998</v>
      </c>
      <c r="O12" s="24">
        <f>O11+M12-N12</f>
        <v>1119.049999999992</v>
      </c>
      <c r="P12" t="s">
        <v>23</v>
      </c>
      <c r="Q12" s="21" t="s">
        <v>1529</v>
      </c>
    </row>
    <row r="13" spans="1:17">
      <c r="A13" t="s">
        <v>15</v>
      </c>
      <c r="B13" t="s">
        <v>16</v>
      </c>
      <c r="C13" s="2">
        <v>36203.81</v>
      </c>
      <c r="D13" s="1">
        <v>45993</v>
      </c>
      <c r="E13" s="1">
        <v>45993</v>
      </c>
      <c r="H13" t="s">
        <v>192</v>
      </c>
      <c r="I13" t="s">
        <v>404</v>
      </c>
      <c r="J13" t="s">
        <v>403</v>
      </c>
      <c r="K13" t="s">
        <v>1533</v>
      </c>
      <c r="L13" t="s">
        <v>22</v>
      </c>
      <c r="M13" s="3">
        <v>0</v>
      </c>
      <c r="N13" s="45">
        <v>14.47</v>
      </c>
      <c r="O13" s="24">
        <f>O12+M13-N13</f>
        <v>1104.579999999992</v>
      </c>
      <c r="P13" t="s">
        <v>23</v>
      </c>
      <c r="Q13" s="21" t="s">
        <v>1581</v>
      </c>
    </row>
    <row r="14" spans="1:17">
      <c r="A14">
        <v>1110102</v>
      </c>
      <c r="B14" s="4" t="s">
        <v>194</v>
      </c>
      <c r="C14">
        <v>20042.25</v>
      </c>
      <c r="D14" s="1">
        <v>45993</v>
      </c>
      <c r="E14" s="1">
        <v>45993</v>
      </c>
      <c r="H14" s="4" t="s">
        <v>192</v>
      </c>
      <c r="I14">
        <v>1110101</v>
      </c>
      <c r="J14" s="4" t="s">
        <v>16</v>
      </c>
      <c r="K14">
        <v>25002223</v>
      </c>
      <c r="L14" s="4" t="s">
        <v>41</v>
      </c>
      <c r="M14" s="35">
        <v>0</v>
      </c>
      <c r="N14" s="35">
        <v>12000</v>
      </c>
      <c r="O14" s="5">
        <f>C14+M14-N14</f>
        <v>8042.25</v>
      </c>
      <c r="P14" t="s">
        <v>23</v>
      </c>
      <c r="Q14" s="21" t="s">
        <v>1530</v>
      </c>
    </row>
    <row r="15" spans="1:17">
      <c r="A15">
        <v>1110102</v>
      </c>
      <c r="B15" s="4" t="s">
        <v>194</v>
      </c>
      <c r="C15">
        <v>20042.25</v>
      </c>
      <c r="D15" s="1">
        <v>45993</v>
      </c>
      <c r="E15" s="1">
        <v>45993</v>
      </c>
      <c r="F15">
        <v>8434</v>
      </c>
      <c r="H15" s="4" t="s">
        <v>726</v>
      </c>
      <c r="I15">
        <v>2123127</v>
      </c>
      <c r="J15" s="4" t="s">
        <v>1517</v>
      </c>
      <c r="K15">
        <v>25002226</v>
      </c>
      <c r="L15" s="4" t="s">
        <v>22</v>
      </c>
      <c r="M15">
        <v>0</v>
      </c>
      <c r="N15" s="46">
        <v>1771.61</v>
      </c>
      <c r="O15" s="5">
        <f>O14+M15-N15</f>
        <v>6270.64</v>
      </c>
      <c r="P15" t="s">
        <v>23</v>
      </c>
      <c r="Q15" s="21" t="s">
        <v>1529</v>
      </c>
    </row>
    <row r="16" spans="1:17">
      <c r="A16">
        <v>1110102</v>
      </c>
      <c r="B16" s="4" t="s">
        <v>194</v>
      </c>
      <c r="C16">
        <v>20042.25</v>
      </c>
      <c r="D16" s="1">
        <v>45993</v>
      </c>
      <c r="E16" s="1">
        <v>45993</v>
      </c>
      <c r="F16">
        <v>6884</v>
      </c>
      <c r="H16" s="4" t="s">
        <v>726</v>
      </c>
      <c r="I16">
        <v>2123112</v>
      </c>
      <c r="J16" s="4" t="s">
        <v>728</v>
      </c>
      <c r="K16">
        <v>25002227</v>
      </c>
      <c r="L16" s="4" t="s">
        <v>22</v>
      </c>
      <c r="M16">
        <v>0</v>
      </c>
      <c r="N16" s="47">
        <v>364.02</v>
      </c>
      <c r="O16" s="5">
        <f>O15+M16-N16</f>
        <v>5906.6200000000008</v>
      </c>
      <c r="P16" t="s">
        <v>23</v>
      </c>
      <c r="Q16" s="21" t="s">
        <v>1529</v>
      </c>
    </row>
    <row r="17" spans="1:17">
      <c r="A17" t="s">
        <v>15</v>
      </c>
      <c r="B17" t="s">
        <v>16</v>
      </c>
      <c r="C17" s="2">
        <v>36203.81</v>
      </c>
      <c r="D17" s="1">
        <v>45994</v>
      </c>
      <c r="E17" s="1">
        <v>45994</v>
      </c>
      <c r="F17" t="s">
        <v>57</v>
      </c>
      <c r="H17" t="s">
        <v>1105</v>
      </c>
      <c r="I17" t="s">
        <v>59</v>
      </c>
      <c r="J17" t="s">
        <v>60</v>
      </c>
      <c r="K17" t="s">
        <v>1534</v>
      </c>
      <c r="L17" t="s">
        <v>22</v>
      </c>
      <c r="M17" s="45">
        <v>7140.01</v>
      </c>
      <c r="N17" s="3">
        <v>0</v>
      </c>
      <c r="O17" s="24">
        <f>O16+M17-N17</f>
        <v>13046.630000000001</v>
      </c>
      <c r="P17" t="s">
        <v>23</v>
      </c>
      <c r="Q17" s="21" t="s">
        <v>1529</v>
      </c>
    </row>
    <row r="18" spans="1:17">
      <c r="A18" t="s">
        <v>15</v>
      </c>
      <c r="B18" t="s">
        <v>16</v>
      </c>
      <c r="C18" s="2">
        <v>36203.81</v>
      </c>
      <c r="D18" s="1">
        <v>45995</v>
      </c>
      <c r="E18" s="1">
        <v>45995</v>
      </c>
      <c r="F18" t="s">
        <v>1535</v>
      </c>
      <c r="H18" t="s">
        <v>43</v>
      </c>
      <c r="I18" t="s">
        <v>601</v>
      </c>
      <c r="J18" t="s">
        <v>602</v>
      </c>
      <c r="K18" t="s">
        <v>1536</v>
      </c>
      <c r="L18" t="s">
        <v>47</v>
      </c>
      <c r="M18" s="3">
        <v>0</v>
      </c>
      <c r="N18" s="45">
        <v>244.36</v>
      </c>
      <c r="O18" s="24">
        <f>O17+M18-N18</f>
        <v>12802.27</v>
      </c>
      <c r="P18" t="s">
        <v>23</v>
      </c>
      <c r="Q18" s="21" t="s">
        <v>1529</v>
      </c>
    </row>
    <row r="19" spans="1:17">
      <c r="A19" t="s">
        <v>15</v>
      </c>
      <c r="B19" t="s">
        <v>16</v>
      </c>
      <c r="C19" s="2">
        <v>36203.81</v>
      </c>
      <c r="D19" s="1">
        <v>45995</v>
      </c>
      <c r="E19" s="1">
        <v>45995</v>
      </c>
      <c r="F19" t="s">
        <v>1537</v>
      </c>
      <c r="H19" t="s">
        <v>43</v>
      </c>
      <c r="I19" t="s">
        <v>150</v>
      </c>
      <c r="J19" t="s">
        <v>151</v>
      </c>
      <c r="K19" t="s">
        <v>1538</v>
      </c>
      <c r="L19" t="s">
        <v>47</v>
      </c>
      <c r="M19" s="3">
        <v>0</v>
      </c>
      <c r="N19" s="45">
        <v>154.44</v>
      </c>
      <c r="O19" s="24">
        <f>O18+M19-N19</f>
        <v>12647.83</v>
      </c>
      <c r="P19" t="s">
        <v>23</v>
      </c>
      <c r="Q19" s="21" t="s">
        <v>1529</v>
      </c>
    </row>
    <row r="20" spans="1:17">
      <c r="A20" t="s">
        <v>15</v>
      </c>
      <c r="B20" t="s">
        <v>16</v>
      </c>
      <c r="C20" s="2">
        <v>36203.81</v>
      </c>
      <c r="D20" s="1">
        <v>45995</v>
      </c>
      <c r="E20" s="1">
        <v>45995</v>
      </c>
      <c r="F20" t="s">
        <v>1539</v>
      </c>
      <c r="H20" t="s">
        <v>43</v>
      </c>
      <c r="I20" t="s">
        <v>717</v>
      </c>
      <c r="J20" t="s">
        <v>718</v>
      </c>
      <c r="K20" t="s">
        <v>1540</v>
      </c>
      <c r="L20" t="s">
        <v>47</v>
      </c>
      <c r="M20" s="3">
        <v>0</v>
      </c>
      <c r="N20" s="45">
        <v>1184.74</v>
      </c>
      <c r="O20" s="24">
        <f>O19+M20-N20</f>
        <v>11463.09</v>
      </c>
      <c r="P20" t="s">
        <v>23</v>
      </c>
      <c r="Q20" s="21" t="s">
        <v>1529</v>
      </c>
    </row>
    <row r="21" spans="1:17">
      <c r="A21" t="s">
        <v>15</v>
      </c>
      <c r="B21" t="s">
        <v>16</v>
      </c>
      <c r="C21" s="2">
        <v>36203.81</v>
      </c>
      <c r="D21" s="1">
        <v>45995</v>
      </c>
      <c r="E21" s="1">
        <v>45995</v>
      </c>
      <c r="F21" t="s">
        <v>1541</v>
      </c>
      <c r="H21" t="s">
        <v>43</v>
      </c>
      <c r="I21" t="s">
        <v>158</v>
      </c>
      <c r="J21" t="s">
        <v>159</v>
      </c>
      <c r="K21" t="s">
        <v>1542</v>
      </c>
      <c r="L21" t="s">
        <v>47</v>
      </c>
      <c r="M21" s="3">
        <v>0</v>
      </c>
      <c r="N21" s="45">
        <v>734.94</v>
      </c>
      <c r="O21" s="24">
        <f>O20+M21-N21</f>
        <v>10728.15</v>
      </c>
      <c r="P21" t="s">
        <v>23</v>
      </c>
      <c r="Q21" s="21" t="s">
        <v>1529</v>
      </c>
    </row>
    <row r="22" spans="1:17">
      <c r="A22" t="s">
        <v>15</v>
      </c>
      <c r="B22" t="s">
        <v>16</v>
      </c>
      <c r="C22" s="2">
        <v>36203.81</v>
      </c>
      <c r="D22" s="1">
        <v>45995</v>
      </c>
      <c r="E22" s="1">
        <v>45995</v>
      </c>
      <c r="F22" t="s">
        <v>1543</v>
      </c>
      <c r="H22" t="s">
        <v>43</v>
      </c>
      <c r="I22" t="s">
        <v>93</v>
      </c>
      <c r="J22" t="s">
        <v>94</v>
      </c>
      <c r="K22" t="s">
        <v>1544</v>
      </c>
      <c r="L22" t="s">
        <v>47</v>
      </c>
      <c r="M22" s="3">
        <v>0</v>
      </c>
      <c r="N22" s="36">
        <v>755.95</v>
      </c>
      <c r="O22" s="24">
        <f>O21+M22-N22</f>
        <v>9972.1999999999989</v>
      </c>
      <c r="P22" t="s">
        <v>23</v>
      </c>
      <c r="Q22" s="21" t="s">
        <v>1529</v>
      </c>
    </row>
    <row r="23" spans="1:17">
      <c r="A23" t="s">
        <v>15</v>
      </c>
      <c r="B23" t="s">
        <v>16</v>
      </c>
      <c r="C23" s="2">
        <v>36203.81</v>
      </c>
      <c r="D23" s="1">
        <v>45995</v>
      </c>
      <c r="E23" s="1">
        <v>45995</v>
      </c>
      <c r="F23" t="s">
        <v>1545</v>
      </c>
      <c r="H23" t="s">
        <v>1546</v>
      </c>
      <c r="I23" t="s">
        <v>158</v>
      </c>
      <c r="J23" t="s">
        <v>159</v>
      </c>
      <c r="K23" t="s">
        <v>1547</v>
      </c>
      <c r="L23" t="s">
        <v>47</v>
      </c>
      <c r="M23" s="3">
        <v>0</v>
      </c>
      <c r="N23" s="36">
        <v>-734.94</v>
      </c>
      <c r="O23" s="24">
        <f>O22+M23-N23</f>
        <v>10707.14</v>
      </c>
      <c r="P23" t="s">
        <v>23</v>
      </c>
      <c r="Q23" s="21" t="s">
        <v>1529</v>
      </c>
    </row>
    <row r="24" spans="1:17">
      <c r="A24" t="s">
        <v>15</v>
      </c>
      <c r="B24" t="s">
        <v>16</v>
      </c>
      <c r="C24" s="2">
        <v>36203.81</v>
      </c>
      <c r="D24" s="1">
        <v>45995</v>
      </c>
      <c r="E24" s="1">
        <v>45995</v>
      </c>
      <c r="F24" t="s">
        <v>1548</v>
      </c>
      <c r="H24" t="s">
        <v>43</v>
      </c>
      <c r="I24" t="s">
        <v>158</v>
      </c>
      <c r="J24" t="s">
        <v>159</v>
      </c>
      <c r="K24" t="s">
        <v>1549</v>
      </c>
      <c r="L24" t="s">
        <v>47</v>
      </c>
      <c r="M24" s="3">
        <v>0</v>
      </c>
      <c r="N24" s="36">
        <v>755.95</v>
      </c>
      <c r="O24" s="24">
        <f>O23+M24-N24</f>
        <v>9951.1899999999987</v>
      </c>
      <c r="P24" t="s">
        <v>23</v>
      </c>
      <c r="Q24" s="21" t="s">
        <v>1529</v>
      </c>
    </row>
    <row r="25" spans="1:17">
      <c r="A25" t="s">
        <v>15</v>
      </c>
      <c r="B25" t="s">
        <v>16</v>
      </c>
      <c r="C25" s="2">
        <v>36203.81</v>
      </c>
      <c r="D25" s="1">
        <v>45995</v>
      </c>
      <c r="E25" s="1">
        <v>45995</v>
      </c>
      <c r="F25" t="s">
        <v>1550</v>
      </c>
      <c r="H25" t="s">
        <v>1551</v>
      </c>
      <c r="I25" t="s">
        <v>158</v>
      </c>
      <c r="J25" t="s">
        <v>159</v>
      </c>
      <c r="K25" t="s">
        <v>1552</v>
      </c>
      <c r="L25" t="s">
        <v>47</v>
      </c>
      <c r="M25" s="3">
        <v>0</v>
      </c>
      <c r="N25" s="36">
        <v>-755.95</v>
      </c>
      <c r="O25" s="24">
        <f>O24+M25-N25</f>
        <v>10707.14</v>
      </c>
      <c r="P25" t="s">
        <v>23</v>
      </c>
      <c r="Q25" s="21" t="s">
        <v>1529</v>
      </c>
    </row>
    <row r="26" spans="1:17">
      <c r="A26" t="s">
        <v>15</v>
      </c>
      <c r="B26" t="s">
        <v>16</v>
      </c>
      <c r="C26" s="2">
        <v>36203.81</v>
      </c>
      <c r="D26" s="1">
        <v>45995</v>
      </c>
      <c r="E26" s="1">
        <v>45995</v>
      </c>
      <c r="F26" t="s">
        <v>1553</v>
      </c>
      <c r="H26" t="s">
        <v>43</v>
      </c>
      <c r="I26" t="s">
        <v>158</v>
      </c>
      <c r="J26" t="s">
        <v>159</v>
      </c>
      <c r="K26" t="s">
        <v>1554</v>
      </c>
      <c r="L26" t="s">
        <v>47</v>
      </c>
      <c r="M26" s="3">
        <v>0</v>
      </c>
      <c r="N26" s="36">
        <v>734.94</v>
      </c>
      <c r="O26" s="24">
        <f>O25+M26-N26</f>
        <v>9972.1999999999989</v>
      </c>
      <c r="P26" t="s">
        <v>23</v>
      </c>
      <c r="Q26" s="21" t="s">
        <v>1529</v>
      </c>
    </row>
    <row r="27" spans="1:17">
      <c r="A27" t="s">
        <v>15</v>
      </c>
      <c r="B27" t="s">
        <v>16</v>
      </c>
      <c r="C27" s="2">
        <v>36203.81</v>
      </c>
      <c r="D27" s="1">
        <v>45995</v>
      </c>
      <c r="E27" s="1">
        <v>45995</v>
      </c>
      <c r="F27" t="s">
        <v>1555</v>
      </c>
      <c r="H27" t="s">
        <v>1556</v>
      </c>
      <c r="I27" t="s">
        <v>93</v>
      </c>
      <c r="J27" t="s">
        <v>94</v>
      </c>
      <c r="K27" t="s">
        <v>1557</v>
      </c>
      <c r="L27" t="s">
        <v>47</v>
      </c>
      <c r="M27" s="3">
        <v>0</v>
      </c>
      <c r="N27" s="36">
        <v>-755.95</v>
      </c>
      <c r="O27" s="24">
        <f>O26+M27-N27</f>
        <v>10728.15</v>
      </c>
      <c r="P27" t="s">
        <v>23</v>
      </c>
      <c r="Q27" s="21" t="s">
        <v>1529</v>
      </c>
    </row>
    <row r="28" spans="1:17">
      <c r="A28" t="s">
        <v>15</v>
      </c>
      <c r="B28" t="s">
        <v>16</v>
      </c>
      <c r="C28" s="2">
        <v>36203.81</v>
      </c>
      <c r="D28" s="1">
        <v>45998</v>
      </c>
      <c r="E28" s="1">
        <v>45998</v>
      </c>
      <c r="F28" t="s">
        <v>1558</v>
      </c>
      <c r="H28" t="s">
        <v>43</v>
      </c>
      <c r="I28" t="s">
        <v>74</v>
      </c>
      <c r="J28" t="s">
        <v>75</v>
      </c>
      <c r="K28" t="s">
        <v>1559</v>
      </c>
      <c r="L28" t="s">
        <v>47</v>
      </c>
      <c r="M28" s="3">
        <v>0</v>
      </c>
      <c r="N28" s="45">
        <v>103.78</v>
      </c>
      <c r="O28" s="24">
        <f>O27+M28-N28</f>
        <v>10624.369999999999</v>
      </c>
      <c r="P28" t="s">
        <v>23</v>
      </c>
      <c r="Q28" s="21" t="s">
        <v>1529</v>
      </c>
    </row>
    <row r="29" spans="1:17">
      <c r="A29" t="s">
        <v>193</v>
      </c>
      <c r="B29" t="s">
        <v>194</v>
      </c>
      <c r="C29" s="2">
        <v>20042.25</v>
      </c>
      <c r="D29" s="1">
        <v>45999</v>
      </c>
      <c r="E29" s="1">
        <v>45999</v>
      </c>
      <c r="H29" t="s">
        <v>1566</v>
      </c>
      <c r="I29" t="s">
        <v>772</v>
      </c>
      <c r="J29" t="s">
        <v>773</v>
      </c>
      <c r="K29" t="s">
        <v>1567</v>
      </c>
      <c r="L29" t="s">
        <v>41</v>
      </c>
      <c r="M29" s="35">
        <v>30000</v>
      </c>
      <c r="N29" s="35">
        <v>0</v>
      </c>
      <c r="O29" s="24">
        <f>O28+M29-N29</f>
        <v>40624.369999999995</v>
      </c>
      <c r="P29" t="s">
        <v>23</v>
      </c>
      <c r="Q29" s="21" t="s">
        <v>1583</v>
      </c>
    </row>
    <row r="30" spans="1:17">
      <c r="A30" t="s">
        <v>193</v>
      </c>
      <c r="B30" t="s">
        <v>194</v>
      </c>
      <c r="C30" s="2">
        <v>20042.25</v>
      </c>
      <c r="D30" s="1">
        <v>45999</v>
      </c>
      <c r="E30" s="1">
        <v>45999</v>
      </c>
      <c r="H30" t="s">
        <v>1566</v>
      </c>
      <c r="I30" t="s">
        <v>404</v>
      </c>
      <c r="J30" t="s">
        <v>403</v>
      </c>
      <c r="K30" t="s">
        <v>1568</v>
      </c>
      <c r="L30" t="s">
        <v>22</v>
      </c>
      <c r="M30" s="3">
        <v>0</v>
      </c>
      <c r="N30" s="45">
        <v>27.5</v>
      </c>
      <c r="O30" s="24">
        <f>O29+M30-N30</f>
        <v>40596.869999999995</v>
      </c>
      <c r="P30" t="s">
        <v>23</v>
      </c>
      <c r="Q30" s="21" t="s">
        <v>1581</v>
      </c>
    </row>
    <row r="31" spans="1:17">
      <c r="A31" s="11" t="s">
        <v>772</v>
      </c>
      <c r="B31" s="11" t="s">
        <v>773</v>
      </c>
      <c r="C31" s="12">
        <v>35487.879999999997</v>
      </c>
      <c r="D31" s="13">
        <v>45999</v>
      </c>
      <c r="E31" s="13">
        <v>45999</v>
      </c>
      <c r="F31" s="11"/>
      <c r="G31" s="11"/>
      <c r="H31" s="11" t="s">
        <v>1566</v>
      </c>
      <c r="I31" s="11" t="s">
        <v>193</v>
      </c>
      <c r="J31" s="11" t="s">
        <v>194</v>
      </c>
      <c r="K31" s="11" t="s">
        <v>1567</v>
      </c>
      <c r="L31" s="11" t="s">
        <v>41</v>
      </c>
      <c r="M31" s="35">
        <v>0</v>
      </c>
      <c r="N31" s="35">
        <v>30000</v>
      </c>
      <c r="O31" s="32">
        <f>O30+M31-N31</f>
        <v>10596.869999999995</v>
      </c>
      <c r="P31" s="11" t="s">
        <v>23</v>
      </c>
      <c r="Q31" s="23" t="s">
        <v>1582</v>
      </c>
    </row>
    <row r="32" spans="1:17">
      <c r="A32" t="s">
        <v>15</v>
      </c>
      <c r="B32" t="s">
        <v>16</v>
      </c>
      <c r="C32" s="2">
        <v>36203.81</v>
      </c>
      <c r="D32" s="1">
        <v>46001</v>
      </c>
      <c r="E32" s="1">
        <v>46001</v>
      </c>
      <c r="H32" t="s">
        <v>592</v>
      </c>
      <c r="I32" t="s">
        <v>193</v>
      </c>
      <c r="J32" t="s">
        <v>194</v>
      </c>
      <c r="K32" t="s">
        <v>1560</v>
      </c>
      <c r="L32" t="s">
        <v>41</v>
      </c>
      <c r="M32" s="35">
        <v>30000</v>
      </c>
      <c r="N32" s="35">
        <v>0</v>
      </c>
      <c r="O32" s="24">
        <f>O31+M32-N32</f>
        <v>40596.869999999995</v>
      </c>
      <c r="P32" t="s">
        <v>23</v>
      </c>
      <c r="Q32" s="21" t="s">
        <v>1530</v>
      </c>
    </row>
    <row r="33" spans="1:17">
      <c r="A33" t="s">
        <v>193</v>
      </c>
      <c r="B33" t="s">
        <v>194</v>
      </c>
      <c r="C33" s="2">
        <v>20042.25</v>
      </c>
      <c r="D33" s="1">
        <v>46001</v>
      </c>
      <c r="E33" s="1">
        <v>46001</v>
      </c>
      <c r="H33" t="s">
        <v>592</v>
      </c>
      <c r="I33" t="s">
        <v>15</v>
      </c>
      <c r="J33" t="s">
        <v>16</v>
      </c>
      <c r="K33" t="s">
        <v>1560</v>
      </c>
      <c r="L33" t="s">
        <v>41</v>
      </c>
      <c r="M33" s="36">
        <v>0</v>
      </c>
      <c r="N33" s="36">
        <v>30000</v>
      </c>
      <c r="O33" s="24">
        <f>O32+M33-N33</f>
        <v>10596.869999999995</v>
      </c>
      <c r="P33" t="s">
        <v>23</v>
      </c>
      <c r="Q33" s="21" t="s">
        <v>1530</v>
      </c>
    </row>
    <row r="34" spans="1:17">
      <c r="A34" t="s">
        <v>772</v>
      </c>
      <c r="B34" t="s">
        <v>773</v>
      </c>
      <c r="C34" s="2">
        <v>35487.879999999997</v>
      </c>
      <c r="D34" s="1">
        <v>46002</v>
      </c>
      <c r="E34" s="1">
        <v>46002</v>
      </c>
      <c r="H34" t="s">
        <v>1575</v>
      </c>
      <c r="I34" t="s">
        <v>1576</v>
      </c>
      <c r="J34" t="s">
        <v>1577</v>
      </c>
      <c r="K34" t="s">
        <v>1578</v>
      </c>
      <c r="L34" t="s">
        <v>22</v>
      </c>
      <c r="M34" s="3">
        <v>0</v>
      </c>
      <c r="N34" s="45">
        <v>4600</v>
      </c>
      <c r="O34" s="24">
        <f>O33+M34-N34</f>
        <v>5996.8699999999953</v>
      </c>
      <c r="P34" t="s">
        <v>23</v>
      </c>
      <c r="Q34" s="21" t="s">
        <v>1529</v>
      </c>
    </row>
    <row r="35" spans="1:17">
      <c r="A35" t="s">
        <v>15</v>
      </c>
      <c r="B35" t="s">
        <v>16</v>
      </c>
      <c r="C35" s="2">
        <v>36203.81</v>
      </c>
      <c r="D35" s="1">
        <v>46003</v>
      </c>
      <c r="E35" s="1">
        <v>46003</v>
      </c>
      <c r="F35" t="s">
        <v>62</v>
      </c>
      <c r="H35" t="s">
        <v>220</v>
      </c>
      <c r="I35" t="s">
        <v>64</v>
      </c>
      <c r="J35" t="s">
        <v>65</v>
      </c>
      <c r="K35" t="s">
        <v>1561</v>
      </c>
      <c r="L35" t="s">
        <v>22</v>
      </c>
      <c r="M35" s="3">
        <v>0</v>
      </c>
      <c r="N35" s="45">
        <v>22329.75</v>
      </c>
      <c r="O35" s="24">
        <f>O34+M35-N35</f>
        <v>-16332.880000000005</v>
      </c>
      <c r="P35" t="s">
        <v>23</v>
      </c>
      <c r="Q35" s="21" t="s">
        <v>1088</v>
      </c>
    </row>
    <row r="36" spans="1:17">
      <c r="A36" t="s">
        <v>15</v>
      </c>
      <c r="B36" t="s">
        <v>16</v>
      </c>
      <c r="C36" s="2">
        <v>36203.81</v>
      </c>
      <c r="D36" s="1">
        <v>46005</v>
      </c>
      <c r="E36" s="1">
        <v>46005</v>
      </c>
      <c r="F36" t="s">
        <v>24</v>
      </c>
      <c r="H36" t="s">
        <v>18</v>
      </c>
      <c r="I36" t="s">
        <v>25</v>
      </c>
      <c r="J36" t="s">
        <v>26</v>
      </c>
      <c r="K36" t="s">
        <v>1562</v>
      </c>
      <c r="L36" t="s">
        <v>22</v>
      </c>
      <c r="M36" s="3">
        <v>0</v>
      </c>
      <c r="N36" s="45">
        <v>7.46</v>
      </c>
      <c r="O36" s="24">
        <f>O35+M36-N36</f>
        <v>-16340.340000000004</v>
      </c>
      <c r="P36" t="s">
        <v>23</v>
      </c>
      <c r="Q36" s="21" t="s">
        <v>1529</v>
      </c>
    </row>
    <row r="37" spans="1:17">
      <c r="A37" t="s">
        <v>15</v>
      </c>
      <c r="B37" t="s">
        <v>16</v>
      </c>
      <c r="C37" s="2">
        <v>36203.81</v>
      </c>
      <c r="D37" s="1">
        <v>46006</v>
      </c>
      <c r="E37" s="1">
        <v>46006</v>
      </c>
      <c r="F37" t="s">
        <v>1563</v>
      </c>
      <c r="H37" t="s">
        <v>43</v>
      </c>
      <c r="I37" t="s">
        <v>102</v>
      </c>
      <c r="J37" t="s">
        <v>103</v>
      </c>
      <c r="K37" t="s">
        <v>1564</v>
      </c>
      <c r="L37" t="s">
        <v>47</v>
      </c>
      <c r="M37" s="3">
        <v>0</v>
      </c>
      <c r="N37" s="45">
        <v>4184.79</v>
      </c>
      <c r="O37" s="24">
        <f>O36+M37-N37</f>
        <v>-20525.130000000005</v>
      </c>
      <c r="P37" t="s">
        <v>23</v>
      </c>
      <c r="Q37" s="21" t="s">
        <v>1529</v>
      </c>
    </row>
    <row r="38" spans="1:17">
      <c r="A38" s="27" t="s">
        <v>15</v>
      </c>
      <c r="B38" s="27" t="s">
        <v>16</v>
      </c>
      <c r="C38" s="29">
        <v>36203.81</v>
      </c>
      <c r="D38" s="30">
        <v>46010</v>
      </c>
      <c r="E38" s="30">
        <v>46010</v>
      </c>
      <c r="F38" s="27"/>
      <c r="G38" s="27"/>
      <c r="H38" s="27" t="s">
        <v>592</v>
      </c>
      <c r="I38" s="27" t="s">
        <v>193</v>
      </c>
      <c r="J38" s="27" t="s">
        <v>194</v>
      </c>
      <c r="K38" s="27" t="s">
        <v>1565</v>
      </c>
      <c r="L38" s="27" t="s">
        <v>41</v>
      </c>
      <c r="M38" s="35">
        <v>5000</v>
      </c>
      <c r="N38" s="35">
        <v>0</v>
      </c>
      <c r="O38" s="31">
        <f>O37+M38-N38</f>
        <v>-15525.130000000005</v>
      </c>
      <c r="P38" s="27" t="s">
        <v>23</v>
      </c>
      <c r="Q38" s="33" t="s">
        <v>1530</v>
      </c>
    </row>
    <row r="39" spans="1:17">
      <c r="A39" t="s">
        <v>193</v>
      </c>
      <c r="B39" t="s">
        <v>194</v>
      </c>
      <c r="C39" s="2">
        <v>20042.25</v>
      </c>
      <c r="D39" s="1">
        <v>46010</v>
      </c>
      <c r="E39" s="1">
        <v>46010</v>
      </c>
      <c r="H39" t="s">
        <v>592</v>
      </c>
      <c r="I39" t="s">
        <v>15</v>
      </c>
      <c r="J39" t="s">
        <v>16</v>
      </c>
      <c r="K39" t="s">
        <v>1565</v>
      </c>
      <c r="L39" t="s">
        <v>41</v>
      </c>
      <c r="M39" s="36">
        <v>0</v>
      </c>
      <c r="N39" s="36">
        <v>5000</v>
      </c>
      <c r="O39" s="24">
        <f>O38+M39-N39</f>
        <v>-20525.130000000005</v>
      </c>
      <c r="P39" t="s">
        <v>23</v>
      </c>
      <c r="Q39" s="21" t="s">
        <v>1530</v>
      </c>
    </row>
    <row r="40" spans="1:17">
      <c r="A40" s="11" t="s">
        <v>772</v>
      </c>
      <c r="B40" s="11" t="s">
        <v>773</v>
      </c>
      <c r="C40" s="12">
        <v>35487.879999999997</v>
      </c>
      <c r="D40" s="13">
        <v>46010</v>
      </c>
      <c r="E40" s="13">
        <v>46010</v>
      </c>
      <c r="F40" s="11" t="s">
        <v>1579</v>
      </c>
      <c r="G40" s="11"/>
      <c r="H40" s="11" t="s">
        <v>1329</v>
      </c>
      <c r="I40" s="11" t="s">
        <v>738</v>
      </c>
      <c r="J40" s="11" t="s">
        <v>739</v>
      </c>
      <c r="K40" s="11" t="s">
        <v>1580</v>
      </c>
      <c r="L40" s="11" t="s">
        <v>144</v>
      </c>
      <c r="M40" s="34">
        <v>111277.6</v>
      </c>
      <c r="N40" s="34">
        <v>0</v>
      </c>
      <c r="O40" s="25">
        <f>O39+M40-N40</f>
        <v>90752.47</v>
      </c>
      <c r="P40" s="11" t="s">
        <v>23</v>
      </c>
      <c r="Q40" s="21" t="s">
        <v>1462</v>
      </c>
    </row>
    <row r="41" spans="1:17">
      <c r="A41" s="11" t="s">
        <v>193</v>
      </c>
      <c r="B41" s="11" t="s">
        <v>194</v>
      </c>
      <c r="C41" s="12">
        <v>20042.25</v>
      </c>
      <c r="D41" s="13">
        <v>46012</v>
      </c>
      <c r="E41" s="13">
        <v>46012</v>
      </c>
      <c r="F41" s="11" t="s">
        <v>1569</v>
      </c>
      <c r="G41" s="11"/>
      <c r="H41" s="11" t="s">
        <v>1570</v>
      </c>
      <c r="I41" s="11" t="s">
        <v>1571</v>
      </c>
      <c r="J41" s="11" t="s">
        <v>1572</v>
      </c>
      <c r="K41" s="11" t="s">
        <v>1573</v>
      </c>
      <c r="L41" s="11" t="s">
        <v>144</v>
      </c>
      <c r="M41" s="34">
        <v>100000</v>
      </c>
      <c r="N41" s="34">
        <v>0</v>
      </c>
      <c r="O41" s="32">
        <f>O40+M41-N41</f>
        <v>190752.47</v>
      </c>
      <c r="P41" s="11" t="s">
        <v>23</v>
      </c>
      <c r="Q41" s="21" t="s">
        <v>1584</v>
      </c>
    </row>
    <row r="42" spans="1:17">
      <c r="A42" s="11" t="s">
        <v>193</v>
      </c>
      <c r="B42" s="11" t="s">
        <v>194</v>
      </c>
      <c r="C42" s="12">
        <v>20042.25</v>
      </c>
      <c r="D42" s="13">
        <v>46012</v>
      </c>
      <c r="E42" s="13">
        <v>46012</v>
      </c>
      <c r="F42" s="11" t="s">
        <v>1569</v>
      </c>
      <c r="G42" s="11"/>
      <c r="H42" s="11" t="s">
        <v>1570</v>
      </c>
      <c r="I42" s="11" t="s">
        <v>404</v>
      </c>
      <c r="J42" s="11" t="s">
        <v>403</v>
      </c>
      <c r="K42" s="11" t="s">
        <v>1574</v>
      </c>
      <c r="L42" s="11" t="s">
        <v>22</v>
      </c>
      <c r="M42" s="34">
        <v>0</v>
      </c>
      <c r="N42" s="34">
        <v>7.5</v>
      </c>
      <c r="O42" s="25">
        <f>O41+M42-N42</f>
        <v>190744.97</v>
      </c>
      <c r="P42" s="11" t="s">
        <v>23</v>
      </c>
      <c r="Q42" s="21" t="s">
        <v>1581</v>
      </c>
    </row>
    <row r="43" spans="1:17">
      <c r="A43">
        <v>1110100</v>
      </c>
      <c r="B43" s="4" t="s">
        <v>1522</v>
      </c>
      <c r="C43">
        <v>44.48</v>
      </c>
      <c r="M43">
        <v>0</v>
      </c>
      <c r="N43">
        <v>0</v>
      </c>
      <c r="P43" t="s">
        <v>23</v>
      </c>
    </row>
    <row r="44" spans="1:17">
      <c r="A44" s="27">
        <v>1110103</v>
      </c>
      <c r="B44" s="28" t="s">
        <v>39</v>
      </c>
      <c r="C44" s="27">
        <v>867</v>
      </c>
      <c r="D44" s="27"/>
      <c r="E44" s="27"/>
      <c r="F44" s="27"/>
      <c r="G44" s="27"/>
      <c r="H44" s="27"/>
      <c r="I44" s="27"/>
      <c r="J44" s="27"/>
      <c r="K44" s="27"/>
      <c r="L44" s="27"/>
      <c r="M44" s="27" t="s">
        <v>1525</v>
      </c>
      <c r="N44" s="27" t="s">
        <v>1525</v>
      </c>
      <c r="O44" s="31">
        <f>C44</f>
        <v>867</v>
      </c>
      <c r="P44" s="27" t="s">
        <v>23</v>
      </c>
    </row>
    <row r="45" spans="1:17">
      <c r="A45" s="27">
        <v>1110105</v>
      </c>
      <c r="B45" s="28" t="s">
        <v>546</v>
      </c>
      <c r="C45" s="27">
        <v>99.44</v>
      </c>
      <c r="D45" s="27"/>
      <c r="E45" s="27"/>
      <c r="F45" s="27"/>
      <c r="G45" s="27"/>
      <c r="H45" s="27"/>
      <c r="I45" s="27"/>
      <c r="J45" s="27"/>
      <c r="K45" s="27"/>
      <c r="L45" s="27"/>
      <c r="M45" s="27" t="s">
        <v>1525</v>
      </c>
      <c r="N45" s="27" t="s">
        <v>1525</v>
      </c>
      <c r="O45" s="31">
        <f>C45</f>
        <v>99.44</v>
      </c>
      <c r="P45" s="27" t="s">
        <v>23</v>
      </c>
    </row>
    <row r="46" spans="1:17">
      <c r="A46" s="11">
        <v>1110106</v>
      </c>
      <c r="B46" s="22" t="s">
        <v>773</v>
      </c>
      <c r="C46" s="11">
        <v>35487.879999999997</v>
      </c>
      <c r="D46" s="11"/>
      <c r="E46" s="11"/>
      <c r="F46" s="11"/>
      <c r="G46" s="11"/>
      <c r="H46" s="11"/>
      <c r="I46" s="11"/>
      <c r="J46" s="11"/>
      <c r="K46" s="11"/>
      <c r="L46" s="11"/>
      <c r="M46" s="11">
        <v>0</v>
      </c>
      <c r="N46" s="11">
        <v>0</v>
      </c>
      <c r="O46" s="11">
        <f>C46+M46-N46</f>
        <v>35487.879999999997</v>
      </c>
      <c r="P46" s="11" t="s">
        <v>23</v>
      </c>
    </row>
    <row r="47" spans="1:17">
      <c r="A47" s="11">
        <v>1110110</v>
      </c>
      <c r="B47" s="11" t="s">
        <v>1073</v>
      </c>
      <c r="C47" s="12">
        <v>266.88</v>
      </c>
      <c r="D47" s="13"/>
      <c r="E47" s="13"/>
      <c r="F47" s="11"/>
      <c r="G47" s="11"/>
      <c r="H47" s="11"/>
      <c r="I47" s="11"/>
      <c r="J47" s="11"/>
      <c r="K47" s="11"/>
      <c r="L47" s="11"/>
      <c r="M47" s="14"/>
      <c r="N47" s="14"/>
      <c r="O47" s="25">
        <f>C47</f>
        <v>266.88</v>
      </c>
      <c r="P47" s="11" t="s">
        <v>23</v>
      </c>
    </row>
    <row r="48" spans="1:17">
      <c r="A48" s="11">
        <v>1110111</v>
      </c>
      <c r="B48" s="11" t="s">
        <v>1076</v>
      </c>
      <c r="C48" s="12">
        <v>6.13</v>
      </c>
      <c r="D48" s="13"/>
      <c r="E48" s="13"/>
      <c r="F48" s="11"/>
      <c r="G48" s="11"/>
      <c r="H48" s="11"/>
      <c r="I48" s="11"/>
      <c r="J48" s="11"/>
      <c r="K48" s="11"/>
      <c r="L48" s="11"/>
      <c r="M48" s="14"/>
      <c r="N48" s="14"/>
      <c r="O48" s="25">
        <f>C48</f>
        <v>6.13</v>
      </c>
      <c r="P48" s="11" t="s">
        <v>23</v>
      </c>
    </row>
    <row r="50" spans="2:15" ht="15.75" thickBot="1">
      <c r="B50" s="4"/>
      <c r="H50" s="4"/>
      <c r="L50" s="4"/>
      <c r="N50" s="5"/>
      <c r="O50" s="26">
        <f>O31+O40+O41+O42+O46+O47+O48</f>
        <v>518607.67000000004</v>
      </c>
    </row>
    <row r="51" spans="2:15" ht="15.75" thickTop="1">
      <c r="B51" s="4"/>
      <c r="H51" s="4"/>
      <c r="L51" s="4"/>
      <c r="O51" s="5"/>
    </row>
    <row r="52" spans="2:15">
      <c r="B52" s="4"/>
      <c r="H52" s="4"/>
      <c r="L52" s="4"/>
      <c r="O52" s="20"/>
    </row>
    <row r="53" spans="2:15">
      <c r="B53" s="4"/>
    </row>
    <row r="54" spans="2:15">
      <c r="B54" s="4"/>
    </row>
    <row r="55" spans="2:15">
      <c r="B55" s="4"/>
    </row>
  </sheetData>
  <autoFilter ref="A1:Q48" xr:uid="{4DD71B50-8C76-4BAA-BE01-BA0FE5418F46}">
    <sortState xmlns:xlrd2="http://schemas.microsoft.com/office/spreadsheetml/2017/richdata2" ref="A2:Q48">
      <sortCondition ref="E1:E4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ED5E569D553A40AE8A0585BABBF674" ma:contentTypeVersion="28" ma:contentTypeDescription="Create a new document." ma:contentTypeScope="" ma:versionID="0f0386f5fb46f34a7047c9267d79960a">
  <xsd:schema xmlns:xsd="http://www.w3.org/2001/XMLSchema" xmlns:xs="http://www.w3.org/2001/XMLSchema" xmlns:p="http://schemas.microsoft.com/office/2006/metadata/properties" xmlns:ns2="bf6e26dd-18a8-4616-a791-cb157ef1bf56" xmlns:ns3="2af0a221-e6e5-4f13-a0b5-c8b7582ab823" xmlns:ns4="d4108fd0-bac5-48aa-9f20-39453d102dac" targetNamespace="http://schemas.microsoft.com/office/2006/metadata/properties" ma:root="true" ma:fieldsID="81ec9e367a933ed0cbc2e855037c1f4c" ns2:_="" ns3:_="" ns4:_="">
    <xsd:import namespace="bf6e26dd-18a8-4616-a791-cb157ef1bf56"/>
    <xsd:import namespace="2af0a221-e6e5-4f13-a0b5-c8b7582ab823"/>
    <xsd:import namespace="d4108fd0-bac5-48aa-9f20-39453d102dac"/>
    <xsd:element name="properties">
      <xsd:complexType>
        <xsd:sequence>
          <xsd:element name="documentManagement">
            <xsd:complexType>
              <xsd:all>
                <xsd:element ref="ns2:Invoice_x0020_date" minOccurs="0"/>
                <xsd:element ref="ns2:Currency" minOccurs="0"/>
                <xsd:element ref="ns2:Amount" minOccurs="0"/>
                <xsd:element ref="ns2:Payment_x0020_Date" minOccurs="0"/>
                <xsd:element ref="ns2:Paid" minOccurs="0"/>
                <xsd:element ref="ns2:Paper_x0020_Invoice" minOccurs="0"/>
                <xsd:element ref="ns2:printed" minOccurs="0"/>
                <xsd:element ref="ns2:_x0069_ar6" minOccurs="0"/>
                <xsd:element ref="ns2:_x05e9__x05d5__x05dc__x05dd_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lcf76f155ced4ddcb4097134ff3c332f" minOccurs="0"/>
                <xsd:element ref="ns3:TaxCatchAll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e26dd-18a8-4616-a791-cb157ef1bf56" elementFormDefault="qualified">
    <xsd:import namespace="http://schemas.microsoft.com/office/2006/documentManagement/types"/>
    <xsd:import namespace="http://schemas.microsoft.com/office/infopath/2007/PartnerControls"/>
    <xsd:element name="Invoice_x0020_date" ma:index="8" nillable="true" ma:displayName="Invoice date" ma:format="DateOnly" ma:internalName="Invoice_x0020_date">
      <xsd:simpleType>
        <xsd:restriction base="dms:DateTime"/>
      </xsd:simpleType>
    </xsd:element>
    <xsd:element name="Currency" ma:index="9" nillable="true" ma:displayName="Currency" ma:LCID="1033" ma:internalName="Currency">
      <xsd:simpleType>
        <xsd:restriction base="dms:Currency"/>
      </xsd:simpleType>
    </xsd:element>
    <xsd:element name="Amount" ma:index="10" nillable="true" ma:displayName="Amount" ma:internalName="Amount">
      <xsd:simpleType>
        <xsd:restriction base="dms:Number"/>
      </xsd:simpleType>
    </xsd:element>
    <xsd:element name="Payment_x0020_Date" ma:index="11" nillable="true" ma:displayName="Payment Date" ma:format="DateOnly" ma:internalName="Payment_x0020_Date">
      <xsd:simpleType>
        <xsd:restriction base="dms:DateTime"/>
      </xsd:simpleType>
    </xsd:element>
    <xsd:element name="Paid" ma:index="12" nillable="true" ma:displayName="Paid" ma:default="1" ma:internalName="Paid">
      <xsd:simpleType>
        <xsd:restriction base="dms:Boolean"/>
      </xsd:simpleType>
    </xsd:element>
    <xsd:element name="Paper_x0020_Invoice" ma:index="13" nillable="true" ma:displayName="Paper Invoice" ma:default="1" ma:internalName="Paper_x0020_Invoice">
      <xsd:simpleType>
        <xsd:restriction base="dms:Boolean"/>
      </xsd:simpleType>
    </xsd:element>
    <xsd:element name="printed" ma:index="14" nillable="true" ma:displayName="printed" ma:default="1" ma:internalName="printed">
      <xsd:simpleType>
        <xsd:restriction base="dms:Boolean"/>
      </xsd:simpleType>
    </xsd:element>
    <xsd:element name="_x0069_ar6" ma:index="15" nillable="true" ma:displayName="comments" ma:internalName="comments">
      <xsd:simpleType>
        <xsd:restriction base="dms:Text"/>
      </xsd:simpleType>
    </xsd:element>
    <xsd:element name="_x05e9__x05d5__x05dc__x05dd_" ma:index="16" nillable="true" ma:displayName="שולם" ma:default="1" ma:internalName="_x05e9__x05d5__x05dc__x05dd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0a221-e6e5-4f13-a0b5-c8b7582ab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69fd50b9-1309-43d4-8f81-e2e219870528}" ma:internalName="TaxCatchAll" ma:showField="CatchAllData" ma:web="2af0a221-e6e5-4f13-a0b5-c8b7582ab8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08fd0-bac5-48aa-9f20-39453d102d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ed4fa224-d827-46e9-8e8b-c04fa556ee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9__x05d5__x05dc__x05dd_ xmlns="bf6e26dd-18a8-4616-a791-cb157ef1bf56">true</_x05e9__x05d5__x05dc__x05dd_>
    <Paper_x0020_Invoice xmlns="bf6e26dd-18a8-4616-a791-cb157ef1bf56">true</Paper_x0020_Invoice>
    <Paid xmlns="bf6e26dd-18a8-4616-a791-cb157ef1bf56">true</Paid>
    <printed xmlns="bf6e26dd-18a8-4616-a791-cb157ef1bf56">true</printed>
    <Amount xmlns="bf6e26dd-18a8-4616-a791-cb157ef1bf56" xsi:nil="true"/>
    <lcf76f155ced4ddcb4097134ff3c332f xmlns="d4108fd0-bac5-48aa-9f20-39453d102dac">
      <Terms xmlns="http://schemas.microsoft.com/office/infopath/2007/PartnerControls"/>
    </lcf76f155ced4ddcb4097134ff3c332f>
    <Currency xmlns="bf6e26dd-18a8-4616-a791-cb157ef1bf56" xsi:nil="true"/>
    <_x0069_ar6 xmlns="bf6e26dd-18a8-4616-a791-cb157ef1bf56" xsi:nil="true"/>
    <Invoice_x0020_date xmlns="bf6e26dd-18a8-4616-a791-cb157ef1bf56" xsi:nil="true"/>
    <Payment_x0020_Date xmlns="bf6e26dd-18a8-4616-a791-cb157ef1bf56" xsi:nil="true"/>
    <TaxCatchAll xmlns="2af0a221-e6e5-4f13-a0b5-c8b7582ab823" xsi:nil="true"/>
  </documentManagement>
</p:properties>
</file>

<file path=customXml/itemProps1.xml><?xml version="1.0" encoding="utf-8"?>
<ds:datastoreItem xmlns:ds="http://schemas.openxmlformats.org/officeDocument/2006/customXml" ds:itemID="{1498E568-A1D1-4917-995A-A3A645CA4E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41C2F7-B9EA-49F2-9A83-902978526D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6e26dd-18a8-4616-a791-cb157ef1bf56"/>
    <ds:schemaRef ds:uri="2af0a221-e6e5-4f13-a0b5-c8b7582ab823"/>
    <ds:schemaRef ds:uri="d4108fd0-bac5-48aa-9f20-39453d102d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A962AB-93D7-4C8A-8762-60360477F4BF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d4108fd0-bac5-48aa-9f20-39453d102dac"/>
    <ds:schemaRef ds:uri="http://schemas.microsoft.com/office/2006/metadata/properties"/>
    <ds:schemaRef ds:uri="http://purl.org/dc/terms/"/>
    <ds:schemaRef ds:uri="http://schemas.openxmlformats.org/package/2006/metadata/core-properties"/>
    <ds:schemaRef ds:uri="2af0a221-e6e5-4f13-a0b5-c8b7582ab823"/>
    <ds:schemaRef ds:uri="bf6e26dd-18a8-4616-a791-cb157ef1bf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Jan-Jun 2025</vt:lpstr>
      <vt:lpstr>Jul 2025</vt:lpstr>
      <vt:lpstr>Aug 2025</vt:lpstr>
      <vt:lpstr>Sep 2025</vt:lpstr>
      <vt:lpstr>Oct 2025</vt:lpstr>
      <vt:lpstr>Nov 2025</vt:lpstr>
      <vt:lpstr>Dec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</dc:creator>
  <cp:keywords/>
  <dc:description/>
  <cp:lastModifiedBy>Elijah Fisher</cp:lastModifiedBy>
  <cp:revision/>
  <dcterms:created xsi:type="dcterms:W3CDTF">2025-07-27T14:26:03Z</dcterms:created>
  <dcterms:modified xsi:type="dcterms:W3CDTF">2026-02-10T12:52:13Z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0x01010026ED5E569D553A40AE8A0585BABBF674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