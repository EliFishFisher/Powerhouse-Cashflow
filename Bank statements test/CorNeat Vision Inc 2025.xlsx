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neatvi.sharepoint.com/sites/Finance/Shared Documents/Bookkeeping/CF Reports/2025/2025 CF Reports/"/>
    </mc:Choice>
  </mc:AlternateContent>
  <xr:revisionPtr revIDLastSave="100" documentId="13_ncr:1_{C1200E37-FEBF-4840-A9D6-C739402EAFEF}" xr6:coauthVersionLast="47" xr6:coauthVersionMax="47" xr10:uidLastSave="{FD051753-F441-42B1-9760-C3D9E4E81792}"/>
  <bookViews>
    <workbookView xWindow="-13005" yWindow="-20715" windowWidth="26295" windowHeight="18360" firstSheet="4" activeTab="4" xr2:uid="{00000000-000D-0000-FFFF-FFFF00000000}"/>
  </bookViews>
  <sheets>
    <sheet name="Jan-Jun 2025" sheetId="1" r:id="rId1"/>
    <sheet name="Jul 2025" sheetId="2" r:id="rId2"/>
    <sheet name="Aug 2025" sheetId="3" r:id="rId3"/>
    <sheet name="Sep 2025" sheetId="4" r:id="rId4"/>
    <sheet name="2025" sheetId="5" r:id="rId5"/>
  </sheets>
  <definedNames>
    <definedName name="_xlnm._FilterDatabase" localSheetId="4" hidden="1">'2025'!$A$1:$Q$10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" l="1"/>
  <c r="O3" i="5" s="1"/>
  <c r="O4" i="5" s="1"/>
  <c r="O5" i="5" s="1"/>
  <c r="O6" i="5" s="1"/>
  <c r="O7" i="5" s="1"/>
  <c r="O8" i="5" s="1"/>
  <c r="O9" i="5" s="1"/>
  <c r="O10" i="5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3" i="1"/>
  <c r="O2" i="1"/>
  <c r="O4" i="2"/>
  <c r="O3" i="2"/>
  <c r="O2" i="2"/>
  <c r="O2" i="3"/>
</calcChain>
</file>

<file path=xl/sharedStrings.xml><?xml version="1.0" encoding="utf-8"?>
<sst xmlns="http://schemas.openxmlformats.org/spreadsheetml/2006/main" count="740" uniqueCount="209">
  <si>
    <t>חשבון</t>
  </si>
  <si>
    <t>תאור</t>
  </si>
  <si>
    <t>יתרת פתיחה</t>
  </si>
  <si>
    <t>תאריך למאזן</t>
  </si>
  <si>
    <t>תאריך ערך</t>
  </si>
  <si>
    <t>אסמכתא 1</t>
  </si>
  <si>
    <t>אסמכתא 2</t>
  </si>
  <si>
    <t>פרטים</t>
  </si>
  <si>
    <t>חשבון נגדי</t>
  </si>
  <si>
    <t>תאור חשבון נגדי</t>
  </si>
  <si>
    <t>מס. תנועת היומן</t>
  </si>
  <si>
    <t>סוג תנועה</t>
  </si>
  <si>
    <t>חובה</t>
  </si>
  <si>
    <t>זכות</t>
  </si>
  <si>
    <t>יתרת סגירה</t>
  </si>
  <si>
    <t>מט.</t>
  </si>
  <si>
    <t>1110106</t>
  </si>
  <si>
    <t>SVB Bank 3304143599</t>
  </si>
  <si>
    <t>RCU25000007</t>
  </si>
  <si>
    <t>Receipt</t>
  </si>
  <si>
    <t>100061</t>
  </si>
  <si>
    <t>Capitol City Surgery Center</t>
  </si>
  <si>
    <t>25000009</t>
  </si>
  <si>
    <t>REC</t>
  </si>
  <si>
    <t>$</t>
  </si>
  <si>
    <t>RCU25000011</t>
  </si>
  <si>
    <t>00000337</t>
  </si>
  <si>
    <t>100101</t>
  </si>
  <si>
    <t>Martinsville Center for Sight</t>
  </si>
  <si>
    <t>25000048</t>
  </si>
  <si>
    <t>FUNDS FROM LTD</t>
  </si>
  <si>
    <t>2151105</t>
  </si>
  <si>
    <t>CorNeat Vision Ltd</t>
  </si>
  <si>
    <t>25000019</t>
  </si>
  <si>
    <t>ADJ</t>
  </si>
  <si>
    <t>OFTAL ONE</t>
  </si>
  <si>
    <t>2112653</t>
  </si>
  <si>
    <t>Oftal-One Inc.</t>
  </si>
  <si>
    <t>25000026</t>
  </si>
  <si>
    <t>DPU2500001</t>
  </si>
  <si>
    <t>058555</t>
  </si>
  <si>
    <t>CHECKS DEPOSIT</t>
  </si>
  <si>
    <t>1110100</t>
  </si>
  <si>
    <t>Primary Cashier</t>
  </si>
  <si>
    <t>25000030</t>
  </si>
  <si>
    <t>BNK</t>
  </si>
  <si>
    <t>5374736</t>
  </si>
  <si>
    <t>000600</t>
  </si>
  <si>
    <t>5385991</t>
  </si>
  <si>
    <t>5113</t>
  </si>
  <si>
    <t>5390698</t>
  </si>
  <si>
    <t>ACCOUNTX 12.24</t>
  </si>
  <si>
    <t>2112627</t>
  </si>
  <si>
    <t>AccountX</t>
  </si>
  <si>
    <t>25000013</t>
  </si>
  <si>
    <t>25000020</t>
  </si>
  <si>
    <t>DEEL 1/25</t>
  </si>
  <si>
    <t>2112722</t>
  </si>
  <si>
    <t>Deel</t>
  </si>
  <si>
    <t>25000022</t>
  </si>
  <si>
    <t>ROY VINNIK 1/25</t>
  </si>
  <si>
    <t>2112677</t>
  </si>
  <si>
    <t>Roy Vinnik, CPA LLC</t>
  </si>
  <si>
    <t>25000024</t>
  </si>
  <si>
    <t>25000027</t>
  </si>
  <si>
    <t>MWE inv9259</t>
  </si>
  <si>
    <t>2112572</t>
  </si>
  <si>
    <t>MWE Corporate Services LLC</t>
  </si>
  <si>
    <t>25000029</t>
  </si>
  <si>
    <t>25000021</t>
  </si>
  <si>
    <t>DEEL 2/25</t>
  </si>
  <si>
    <t>25000023</t>
  </si>
  <si>
    <t>ROY VINNIK 2/25</t>
  </si>
  <si>
    <t>25000025</t>
  </si>
  <si>
    <t>ACCOUNTX 1.25</t>
  </si>
  <si>
    <t>25000028</t>
  </si>
  <si>
    <t>25000049</t>
  </si>
  <si>
    <t>Roy Vinnik</t>
  </si>
  <si>
    <t>25000050</t>
  </si>
  <si>
    <t>Funds from LTD</t>
  </si>
  <si>
    <t>25000051</t>
  </si>
  <si>
    <t>Deel 3/2025</t>
  </si>
  <si>
    <t>25000052</t>
  </si>
  <si>
    <t>IRS USATAXPYMT2005498006</t>
  </si>
  <si>
    <t>1152116</t>
  </si>
  <si>
    <t>IRS</t>
  </si>
  <si>
    <t>25000128</t>
  </si>
  <si>
    <t>DPU2500002</t>
  </si>
  <si>
    <t>3933598</t>
  </si>
  <si>
    <t>DEPOSIT</t>
  </si>
  <si>
    <t>25000073</t>
  </si>
  <si>
    <t>0000000681</t>
  </si>
  <si>
    <t>142125</t>
  </si>
  <si>
    <t>25000082</t>
  </si>
  <si>
    <t>Payment Carol</t>
  </si>
  <si>
    <t>2122469</t>
  </si>
  <si>
    <t>Carol Diamantine</t>
  </si>
  <si>
    <t>25000087</t>
  </si>
  <si>
    <t>Payment AccountX</t>
  </si>
  <si>
    <t>25000088</t>
  </si>
  <si>
    <t>Payment Chuck</t>
  </si>
  <si>
    <t>2112704</t>
  </si>
  <si>
    <t>Charles Luley Associates</t>
  </si>
  <si>
    <t>25000083</t>
  </si>
  <si>
    <t>Payment MWE</t>
  </si>
  <si>
    <t>25000084</t>
  </si>
  <si>
    <t>Payment KLM</t>
  </si>
  <si>
    <t>2122470</t>
  </si>
  <si>
    <t>KLM Surgical Rndy Lorena</t>
  </si>
  <si>
    <t>25000085</t>
  </si>
  <si>
    <t>Payment Cello</t>
  </si>
  <si>
    <t>2122466</t>
  </si>
  <si>
    <t>Cello Medical (Jan)</t>
  </si>
  <si>
    <t>25000086</t>
  </si>
  <si>
    <t>Payment Oftal1</t>
  </si>
  <si>
    <t>25000090</t>
  </si>
  <si>
    <t>Payment Wasatch</t>
  </si>
  <si>
    <t>2122472</t>
  </si>
  <si>
    <t>Wasatch Medical Products LLC</t>
  </si>
  <si>
    <t>25000091</t>
  </si>
  <si>
    <t>Payment Vista</t>
  </si>
  <si>
    <t>2122468</t>
  </si>
  <si>
    <t>Vista Ophthalmics, Inc.</t>
  </si>
  <si>
    <t>25000092</t>
  </si>
  <si>
    <t>Payment Roy Vinnik</t>
  </si>
  <si>
    <t>25000094</t>
  </si>
  <si>
    <t>Payment Deel</t>
  </si>
  <si>
    <t>25000093</t>
  </si>
  <si>
    <t>25000089</t>
  </si>
  <si>
    <t>25000095</t>
  </si>
  <si>
    <t>DPU2500003</t>
  </si>
  <si>
    <t>00000327</t>
  </si>
  <si>
    <t>25000079</t>
  </si>
  <si>
    <t>25000096</t>
  </si>
  <si>
    <t>DPU2500004</t>
  </si>
  <si>
    <t>225121560</t>
  </si>
  <si>
    <t>25000081</t>
  </si>
  <si>
    <t>5661</t>
  </si>
  <si>
    <t>44414</t>
  </si>
  <si>
    <t>25000116</t>
  </si>
  <si>
    <t>MWE Corporate Services</t>
  </si>
  <si>
    <t>25000123</t>
  </si>
  <si>
    <t>25000119</t>
  </si>
  <si>
    <t>Robert J Ostrow</t>
  </si>
  <si>
    <t>2122465</t>
  </si>
  <si>
    <t>25000124</t>
  </si>
  <si>
    <t>Sensible Medical</t>
  </si>
  <si>
    <t>2112607</t>
  </si>
  <si>
    <t>Sensible Medical Inc.</t>
  </si>
  <si>
    <t>25000125</t>
  </si>
  <si>
    <t>Cello Medical</t>
  </si>
  <si>
    <t>25000126</t>
  </si>
  <si>
    <t>ACCOUNTX</t>
  </si>
  <si>
    <t>25000113</t>
  </si>
  <si>
    <t>Roy Vinnik CPA</t>
  </si>
  <si>
    <t>25000127</t>
  </si>
  <si>
    <t>25000117</t>
  </si>
  <si>
    <t>25000118</t>
  </si>
  <si>
    <t>25000122</t>
  </si>
  <si>
    <t>25000120</t>
  </si>
  <si>
    <t>25000121</t>
  </si>
  <si>
    <t>DPU2500005</t>
  </si>
  <si>
    <t>7060532</t>
  </si>
  <si>
    <t>Reciept</t>
  </si>
  <si>
    <t>25000115</t>
  </si>
  <si>
    <t>736</t>
  </si>
  <si>
    <t>AccountX 6.25</t>
  </si>
  <si>
    <t>25000141</t>
  </si>
  <si>
    <t>Account No.</t>
  </si>
  <si>
    <t>Description</t>
  </si>
  <si>
    <t>Opening Bal</t>
  </si>
  <si>
    <t>Transaction Date</t>
  </si>
  <si>
    <t>Due Date</t>
  </si>
  <si>
    <t>Refer. 1</t>
  </si>
  <si>
    <t>Refer. 2</t>
  </si>
  <si>
    <t>Details</t>
  </si>
  <si>
    <t>Contra Account</t>
  </si>
  <si>
    <t>Contra Acct Descrip</t>
  </si>
  <si>
    <t>Journal Entry No.</t>
  </si>
  <si>
    <t>Entry Code</t>
  </si>
  <si>
    <t>Debit</t>
  </si>
  <si>
    <t>Credit</t>
  </si>
  <si>
    <t>Curr</t>
  </si>
  <si>
    <t>15/09/2025</t>
  </si>
  <si>
    <t>AccountX 8/25</t>
  </si>
  <si>
    <t>Supplier</t>
  </si>
  <si>
    <t>16/09/2025</t>
  </si>
  <si>
    <t>Bank Transfer</t>
  </si>
  <si>
    <t>25/09/2025</t>
  </si>
  <si>
    <t>Transfer from LTD</t>
  </si>
  <si>
    <t>29/09/2025</t>
  </si>
  <si>
    <t>Salary</t>
  </si>
  <si>
    <t>Balance</t>
  </si>
  <si>
    <t>DPU2500006</t>
  </si>
  <si>
    <t>25000191</t>
  </si>
  <si>
    <t>Customer</t>
  </si>
  <si>
    <t>Corneat 9.25</t>
  </si>
  <si>
    <t>25000190</t>
  </si>
  <si>
    <t>Transfer from Ltd</t>
  </si>
  <si>
    <t>25000192</t>
  </si>
  <si>
    <t>CorNeat Vision</t>
  </si>
  <si>
    <t>25000193</t>
  </si>
  <si>
    <t>25000194</t>
  </si>
  <si>
    <t>Oftal One</t>
  </si>
  <si>
    <t>25000195</t>
  </si>
  <si>
    <t>From CorNeat Ltd</t>
  </si>
  <si>
    <t>25000199</t>
  </si>
  <si>
    <t>Deel 11/25</t>
  </si>
  <si>
    <t>25000200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</si>
</sst>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>
    <font>
      <sz val="11"/>
      <name val="Aptos Narrow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1" applyFont="1"/>
    <xf numFmtId="164" fontId="0" fillId="0" borderId="0" xfId="0" applyNumberFormat="1"/>
    <xf numFmtId="0" fontId="0" fillId="0" borderId="0" xfId="0" quotePrefix="1"/>
    <xf numFmtId="164" fontId="0" fillId="2" borderId="1" xfId="0" applyNumberFormat="1" applyFill="1" applyBorder="1"/>
    <xf numFmtId="164" fontId="0" fillId="2" borderId="0" xfId="0" applyNumberFormat="1" applyFill="1"/>
    <xf numFmtId="164" fontId="0" fillId="3" borderId="0" xfId="1" applyFont="1" applyFill="1"/>
    <xf numFmtId="164" fontId="0" fillId="4" borderId="0" xfId="0" applyNumberFormat="1" applyFill="1"/>
    <xf numFmtId="164" fontId="0" fillId="4" borderId="0" xfId="1" applyFont="1" applyFill="1"/>
    <xf numFmtId="164" fontId="0" fillId="5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opLeftCell="A25" workbookViewId="0">
      <selection activeCell="L33" sqref="L33"/>
    </sheetView>
  </sheetViews>
  <sheetFormatPr defaultRowHeight="15"/>
  <cols>
    <col min="1" max="1" width="7.85546875" bestFit="1" customWidth="1"/>
    <col min="2" max="2" width="18.85546875" bestFit="1" customWidth="1"/>
    <col min="3" max="4" width="10.7109375" bestFit="1" customWidth="1"/>
    <col min="5" max="5" width="10.140625" bestFit="1" customWidth="1"/>
    <col min="6" max="6" width="12.42578125" bestFit="1" customWidth="1"/>
    <col min="7" max="7" width="10.85546875" bestFit="1" customWidth="1"/>
    <col min="8" max="8" width="24.85546875" bestFit="1" customWidth="1"/>
    <col min="9" max="9" width="9.140625" bestFit="1" customWidth="1"/>
    <col min="10" max="10" width="27" bestFit="1" customWidth="1"/>
    <col min="11" max="11" width="13.5703125" bestFit="1" customWidth="1"/>
    <col min="13" max="14" width="10.140625" style="3" bestFit="1" customWidth="1"/>
    <col min="15" max="15" width="10.140625" bestFit="1" customWidth="1"/>
    <col min="16" max="16" width="3.7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2">
        <v>2977.51</v>
      </c>
      <c r="D2" s="1">
        <v>45665</v>
      </c>
      <c r="E2" s="1">
        <v>45665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3">
        <v>870</v>
      </c>
      <c r="N2" s="3">
        <v>0</v>
      </c>
      <c r="O2" s="4">
        <f>C2+M2-N2</f>
        <v>3847.51</v>
      </c>
      <c r="P2" t="s">
        <v>24</v>
      </c>
    </row>
    <row r="3" spans="1:16">
      <c r="A3" t="s">
        <v>16</v>
      </c>
      <c r="B3" t="s">
        <v>17</v>
      </c>
      <c r="C3" s="2">
        <v>2977.51</v>
      </c>
      <c r="D3" s="1">
        <v>45670</v>
      </c>
      <c r="E3" s="1">
        <v>45747</v>
      </c>
      <c r="F3" t="s">
        <v>25</v>
      </c>
      <c r="G3" t="s">
        <v>26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s="3">
        <v>860</v>
      </c>
      <c r="N3" s="3">
        <v>0</v>
      </c>
      <c r="O3" s="4">
        <f>O2+M3-N3</f>
        <v>4707.51</v>
      </c>
      <c r="P3" t="s">
        <v>24</v>
      </c>
    </row>
    <row r="4" spans="1:16">
      <c r="A4" t="s">
        <v>16</v>
      </c>
      <c r="B4" t="s">
        <v>17</v>
      </c>
      <c r="C4" s="2">
        <v>2977.51</v>
      </c>
      <c r="D4" s="1">
        <v>45672</v>
      </c>
      <c r="E4" s="1">
        <v>45672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3">
        <v>10000</v>
      </c>
      <c r="N4" s="3">
        <v>0</v>
      </c>
      <c r="O4" s="4">
        <f t="shared" ref="O4:O61" si="0">O3+M4-N4</f>
        <v>14707.51</v>
      </c>
      <c r="P4" t="s">
        <v>24</v>
      </c>
    </row>
    <row r="5" spans="1:16">
      <c r="A5" t="s">
        <v>16</v>
      </c>
      <c r="B5" t="s">
        <v>17</v>
      </c>
      <c r="C5" s="2">
        <v>2977.51</v>
      </c>
      <c r="D5" s="1">
        <v>45673</v>
      </c>
      <c r="E5" s="1">
        <v>45673</v>
      </c>
      <c r="H5" t="s">
        <v>35</v>
      </c>
      <c r="I5" t="s">
        <v>36</v>
      </c>
      <c r="J5" t="s">
        <v>37</v>
      </c>
      <c r="K5" t="s">
        <v>38</v>
      </c>
      <c r="L5" t="s">
        <v>34</v>
      </c>
      <c r="M5" s="3">
        <v>0</v>
      </c>
      <c r="N5" s="3">
        <v>6944</v>
      </c>
      <c r="O5" s="4">
        <f t="shared" si="0"/>
        <v>7763.51</v>
      </c>
      <c r="P5" t="s">
        <v>24</v>
      </c>
    </row>
    <row r="6" spans="1:16">
      <c r="A6" t="s">
        <v>16</v>
      </c>
      <c r="B6" t="s">
        <v>17</v>
      </c>
      <c r="C6" s="2">
        <v>2977.51</v>
      </c>
      <c r="D6" s="1">
        <v>45678</v>
      </c>
      <c r="E6" s="1">
        <v>45678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s="3">
        <v>590</v>
      </c>
      <c r="N6" s="3">
        <v>0</v>
      </c>
      <c r="O6" s="4">
        <f t="shared" si="0"/>
        <v>8353.51</v>
      </c>
      <c r="P6" t="s">
        <v>24</v>
      </c>
    </row>
    <row r="7" spans="1:16">
      <c r="A7" t="s">
        <v>16</v>
      </c>
      <c r="B7" t="s">
        <v>17</v>
      </c>
      <c r="C7" s="2">
        <v>2977.51</v>
      </c>
      <c r="D7" s="1">
        <v>45678</v>
      </c>
      <c r="E7" s="1">
        <v>45678</v>
      </c>
      <c r="F7" t="s">
        <v>39</v>
      </c>
      <c r="G7" t="s">
        <v>46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s="3">
        <v>1750</v>
      </c>
      <c r="N7" s="3">
        <v>0</v>
      </c>
      <c r="O7" s="4">
        <f t="shared" si="0"/>
        <v>10103.51</v>
      </c>
      <c r="P7" t="s">
        <v>24</v>
      </c>
    </row>
    <row r="8" spans="1:16">
      <c r="A8" t="s">
        <v>16</v>
      </c>
      <c r="B8" t="s">
        <v>17</v>
      </c>
      <c r="C8" s="2">
        <v>2977.51</v>
      </c>
      <c r="D8" s="1">
        <v>45678</v>
      </c>
      <c r="E8" s="1">
        <v>45678</v>
      </c>
      <c r="F8" t="s">
        <v>39</v>
      </c>
      <c r="G8" t="s">
        <v>47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s="3">
        <v>310</v>
      </c>
      <c r="N8" s="3">
        <v>0</v>
      </c>
      <c r="O8" s="4">
        <f t="shared" si="0"/>
        <v>10413.51</v>
      </c>
      <c r="P8" t="s">
        <v>24</v>
      </c>
    </row>
    <row r="9" spans="1:16">
      <c r="A9" t="s">
        <v>16</v>
      </c>
      <c r="B9" t="s">
        <v>17</v>
      </c>
      <c r="C9" s="2">
        <v>2977.51</v>
      </c>
      <c r="D9" s="1">
        <v>45678</v>
      </c>
      <c r="E9" s="1">
        <v>45678</v>
      </c>
      <c r="F9" t="s">
        <v>39</v>
      </c>
      <c r="G9" t="s">
        <v>48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s="3">
        <v>1050</v>
      </c>
      <c r="N9" s="3">
        <v>0</v>
      </c>
      <c r="O9" s="4">
        <f t="shared" si="0"/>
        <v>11463.51</v>
      </c>
      <c r="P9" t="s">
        <v>24</v>
      </c>
    </row>
    <row r="10" spans="1:16">
      <c r="A10" t="s">
        <v>16</v>
      </c>
      <c r="B10" t="s">
        <v>17</v>
      </c>
      <c r="C10" s="2">
        <v>2977.51</v>
      </c>
      <c r="D10" s="1">
        <v>45678</v>
      </c>
      <c r="E10" s="1">
        <v>45678</v>
      </c>
      <c r="F10" t="s">
        <v>39</v>
      </c>
      <c r="G10" t="s">
        <v>49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s="3">
        <v>350</v>
      </c>
      <c r="N10" s="3">
        <v>0</v>
      </c>
      <c r="O10" s="4">
        <f t="shared" si="0"/>
        <v>11813.51</v>
      </c>
      <c r="P10" t="s">
        <v>24</v>
      </c>
    </row>
    <row r="11" spans="1:16">
      <c r="A11" t="s">
        <v>16</v>
      </c>
      <c r="B11" t="s">
        <v>17</v>
      </c>
      <c r="C11" s="2">
        <v>2977.51</v>
      </c>
      <c r="D11" s="1">
        <v>45678</v>
      </c>
      <c r="E11" s="1">
        <v>45678</v>
      </c>
      <c r="F11" t="s">
        <v>39</v>
      </c>
      <c r="G11" t="s">
        <v>50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s="3">
        <v>700</v>
      </c>
      <c r="N11" s="3">
        <v>0</v>
      </c>
      <c r="O11" s="4">
        <f t="shared" si="0"/>
        <v>12513.51</v>
      </c>
      <c r="P11" t="s">
        <v>24</v>
      </c>
    </row>
    <row r="12" spans="1:16">
      <c r="A12" t="s">
        <v>16</v>
      </c>
      <c r="B12" t="s">
        <v>17</v>
      </c>
      <c r="C12" s="2">
        <v>2977.51</v>
      </c>
      <c r="D12" s="1">
        <v>45684</v>
      </c>
      <c r="E12" s="1">
        <v>45684</v>
      </c>
      <c r="H12" t="s">
        <v>51</v>
      </c>
      <c r="I12" t="s">
        <v>52</v>
      </c>
      <c r="J12" t="s">
        <v>53</v>
      </c>
      <c r="K12" t="s">
        <v>54</v>
      </c>
      <c r="L12" t="s">
        <v>34</v>
      </c>
      <c r="M12" s="3">
        <v>0</v>
      </c>
      <c r="N12" s="3">
        <v>360</v>
      </c>
      <c r="O12" s="4">
        <f t="shared" si="0"/>
        <v>12153.51</v>
      </c>
      <c r="P12" t="s">
        <v>24</v>
      </c>
    </row>
    <row r="13" spans="1:16">
      <c r="A13" t="s">
        <v>16</v>
      </c>
      <c r="B13" t="s">
        <v>17</v>
      </c>
      <c r="C13" s="2">
        <v>2977.51</v>
      </c>
      <c r="D13" s="1">
        <v>45684</v>
      </c>
      <c r="E13" s="1">
        <v>45684</v>
      </c>
      <c r="H13" t="s">
        <v>30</v>
      </c>
      <c r="I13" t="s">
        <v>31</v>
      </c>
      <c r="J13" t="s">
        <v>32</v>
      </c>
      <c r="K13" t="s">
        <v>55</v>
      </c>
      <c r="L13" t="s">
        <v>34</v>
      </c>
      <c r="M13" s="3">
        <v>10000</v>
      </c>
      <c r="N13" s="3">
        <v>0</v>
      </c>
      <c r="O13" s="4">
        <f t="shared" si="0"/>
        <v>22153.510000000002</v>
      </c>
      <c r="P13" t="s">
        <v>24</v>
      </c>
    </row>
    <row r="14" spans="1:16">
      <c r="A14" t="s">
        <v>16</v>
      </c>
      <c r="B14" t="s">
        <v>17</v>
      </c>
      <c r="C14" s="2">
        <v>2977.51</v>
      </c>
      <c r="D14" s="1">
        <v>45685</v>
      </c>
      <c r="E14" s="1">
        <v>45685</v>
      </c>
      <c r="H14" t="s">
        <v>56</v>
      </c>
      <c r="I14" t="s">
        <v>57</v>
      </c>
      <c r="J14" t="s">
        <v>58</v>
      </c>
      <c r="K14" t="s">
        <v>59</v>
      </c>
      <c r="L14" t="s">
        <v>34</v>
      </c>
      <c r="M14" s="3">
        <v>0</v>
      </c>
      <c r="N14" s="3">
        <v>14215.69</v>
      </c>
      <c r="O14" s="4">
        <f t="shared" si="0"/>
        <v>7937.8200000000015</v>
      </c>
      <c r="P14" t="s">
        <v>24</v>
      </c>
    </row>
    <row r="15" spans="1:16">
      <c r="A15" t="s">
        <v>16</v>
      </c>
      <c r="B15" t="s">
        <v>17</v>
      </c>
      <c r="C15" s="2">
        <v>2977.51</v>
      </c>
      <c r="D15" s="1">
        <v>45685</v>
      </c>
      <c r="E15" s="1">
        <v>45685</v>
      </c>
      <c r="H15" t="s">
        <v>60</v>
      </c>
      <c r="I15" t="s">
        <v>61</v>
      </c>
      <c r="J15" t="s">
        <v>62</v>
      </c>
      <c r="K15" t="s">
        <v>63</v>
      </c>
      <c r="L15" t="s">
        <v>34</v>
      </c>
      <c r="M15" s="3">
        <v>0</v>
      </c>
      <c r="N15" s="3">
        <v>350</v>
      </c>
      <c r="O15" s="4">
        <f t="shared" si="0"/>
        <v>7587.8200000000015</v>
      </c>
      <c r="P15" t="s">
        <v>24</v>
      </c>
    </row>
    <row r="16" spans="1:16">
      <c r="A16" t="s">
        <v>16</v>
      </c>
      <c r="B16" t="s">
        <v>17</v>
      </c>
      <c r="C16" s="2">
        <v>2977.51</v>
      </c>
      <c r="D16" s="1">
        <v>45685</v>
      </c>
      <c r="E16" s="1">
        <v>45685</v>
      </c>
      <c r="H16" t="s">
        <v>35</v>
      </c>
      <c r="I16" t="s">
        <v>36</v>
      </c>
      <c r="J16" t="s">
        <v>37</v>
      </c>
      <c r="K16" t="s">
        <v>64</v>
      </c>
      <c r="L16" t="s">
        <v>34</v>
      </c>
      <c r="M16" s="3">
        <v>0</v>
      </c>
      <c r="N16" s="3">
        <v>3133</v>
      </c>
      <c r="O16" s="4">
        <f t="shared" si="0"/>
        <v>4454.8200000000015</v>
      </c>
      <c r="P16" t="s">
        <v>24</v>
      </c>
    </row>
    <row r="17" spans="1:16">
      <c r="A17" t="s">
        <v>16</v>
      </c>
      <c r="B17" t="s">
        <v>17</v>
      </c>
      <c r="C17" s="2">
        <v>2977.51</v>
      </c>
      <c r="D17" s="1">
        <v>45685</v>
      </c>
      <c r="E17" s="1">
        <v>45685</v>
      </c>
      <c r="H17" t="s">
        <v>65</v>
      </c>
      <c r="I17" t="s">
        <v>66</v>
      </c>
      <c r="J17" t="s">
        <v>67</v>
      </c>
      <c r="K17" t="s">
        <v>68</v>
      </c>
      <c r="L17" t="s">
        <v>34</v>
      </c>
      <c r="M17" s="3">
        <v>0</v>
      </c>
      <c r="N17" s="3">
        <v>90.44</v>
      </c>
      <c r="O17" s="4">
        <f t="shared" si="0"/>
        <v>4364.3800000000019</v>
      </c>
      <c r="P17" t="s">
        <v>24</v>
      </c>
    </row>
    <row r="18" spans="1:16">
      <c r="A18" t="s">
        <v>16</v>
      </c>
      <c r="B18" t="s">
        <v>17</v>
      </c>
      <c r="C18" s="2">
        <v>2977.51</v>
      </c>
      <c r="D18" s="1">
        <v>45715</v>
      </c>
      <c r="E18" s="1">
        <v>45715</v>
      </c>
      <c r="H18" t="s">
        <v>30</v>
      </c>
      <c r="I18" t="s">
        <v>31</v>
      </c>
      <c r="J18" t="s">
        <v>32</v>
      </c>
      <c r="K18" t="s">
        <v>69</v>
      </c>
      <c r="L18" t="s">
        <v>34</v>
      </c>
      <c r="M18" s="3">
        <v>15000</v>
      </c>
      <c r="N18" s="3">
        <v>0</v>
      </c>
      <c r="O18" s="4">
        <f t="shared" si="0"/>
        <v>19364.38</v>
      </c>
      <c r="P18" t="s">
        <v>24</v>
      </c>
    </row>
    <row r="19" spans="1:16">
      <c r="A19" t="s">
        <v>16</v>
      </c>
      <c r="B19" t="s">
        <v>17</v>
      </c>
      <c r="C19" s="2">
        <v>2977.51</v>
      </c>
      <c r="D19" s="1">
        <v>45716</v>
      </c>
      <c r="E19" s="1">
        <v>45716</v>
      </c>
      <c r="H19" t="s">
        <v>70</v>
      </c>
      <c r="I19" t="s">
        <v>57</v>
      </c>
      <c r="J19" t="s">
        <v>58</v>
      </c>
      <c r="K19" t="s">
        <v>71</v>
      </c>
      <c r="L19" t="s">
        <v>34</v>
      </c>
      <c r="M19" s="3">
        <v>0</v>
      </c>
      <c r="N19" s="3">
        <v>14211.88</v>
      </c>
      <c r="O19" s="4">
        <f t="shared" si="0"/>
        <v>5152.5000000000018</v>
      </c>
      <c r="P19" t="s">
        <v>24</v>
      </c>
    </row>
    <row r="20" spans="1:16">
      <c r="A20" t="s">
        <v>16</v>
      </c>
      <c r="B20" t="s">
        <v>17</v>
      </c>
      <c r="C20" s="2">
        <v>2977.51</v>
      </c>
      <c r="D20" s="1">
        <v>45716</v>
      </c>
      <c r="E20" s="1">
        <v>45716</v>
      </c>
      <c r="H20" t="s">
        <v>72</v>
      </c>
      <c r="I20" t="s">
        <v>61</v>
      </c>
      <c r="J20" t="s">
        <v>62</v>
      </c>
      <c r="K20" t="s">
        <v>73</v>
      </c>
      <c r="L20" t="s">
        <v>34</v>
      </c>
      <c r="M20" s="3">
        <v>0</v>
      </c>
      <c r="N20" s="3">
        <v>350</v>
      </c>
      <c r="O20" s="4">
        <f t="shared" si="0"/>
        <v>4802.5000000000018</v>
      </c>
      <c r="P20" t="s">
        <v>24</v>
      </c>
    </row>
    <row r="21" spans="1:16">
      <c r="A21" t="s">
        <v>16</v>
      </c>
      <c r="B21" t="s">
        <v>17</v>
      </c>
      <c r="C21" s="2">
        <v>2977.51</v>
      </c>
      <c r="D21" s="1">
        <v>45716</v>
      </c>
      <c r="E21" s="1">
        <v>45716</v>
      </c>
      <c r="H21" t="s">
        <v>74</v>
      </c>
      <c r="I21" t="s">
        <v>52</v>
      </c>
      <c r="J21" t="s">
        <v>53</v>
      </c>
      <c r="K21" t="s">
        <v>75</v>
      </c>
      <c r="L21" t="s">
        <v>34</v>
      </c>
      <c r="M21" s="3">
        <v>0</v>
      </c>
      <c r="N21" s="3">
        <v>210</v>
      </c>
      <c r="O21" s="4">
        <f t="shared" si="0"/>
        <v>4592.5000000000018</v>
      </c>
      <c r="P21" t="s">
        <v>24</v>
      </c>
    </row>
    <row r="22" spans="1:16">
      <c r="A22" t="s">
        <v>16</v>
      </c>
      <c r="B22" t="s">
        <v>17</v>
      </c>
      <c r="C22" s="2">
        <v>2977.51</v>
      </c>
      <c r="D22" s="1">
        <v>45735</v>
      </c>
      <c r="E22" s="1">
        <v>45735</v>
      </c>
      <c r="H22" t="s">
        <v>53</v>
      </c>
      <c r="I22" t="s">
        <v>52</v>
      </c>
      <c r="J22" t="s">
        <v>53</v>
      </c>
      <c r="K22" t="s">
        <v>76</v>
      </c>
      <c r="L22" t="s">
        <v>34</v>
      </c>
      <c r="M22" s="3">
        <v>0</v>
      </c>
      <c r="N22" s="3">
        <v>120</v>
      </c>
      <c r="O22" s="4">
        <f t="shared" si="0"/>
        <v>4472.5000000000018</v>
      </c>
      <c r="P22" t="s">
        <v>24</v>
      </c>
    </row>
    <row r="23" spans="1:16">
      <c r="A23" t="s">
        <v>16</v>
      </c>
      <c r="B23" t="s">
        <v>17</v>
      </c>
      <c r="C23" s="2">
        <v>2977.51</v>
      </c>
      <c r="D23" s="1">
        <v>45735</v>
      </c>
      <c r="E23" s="1">
        <v>45735</v>
      </c>
      <c r="H23" t="s">
        <v>77</v>
      </c>
      <c r="I23" t="s">
        <v>61</v>
      </c>
      <c r="J23" t="s">
        <v>62</v>
      </c>
      <c r="K23" t="s">
        <v>78</v>
      </c>
      <c r="L23" t="s">
        <v>34</v>
      </c>
      <c r="M23" s="3">
        <v>0</v>
      </c>
      <c r="N23" s="3">
        <v>350</v>
      </c>
      <c r="O23" s="4">
        <f t="shared" si="0"/>
        <v>4122.5000000000018</v>
      </c>
      <c r="P23" t="s">
        <v>24</v>
      </c>
    </row>
    <row r="24" spans="1:16">
      <c r="A24" t="s">
        <v>16</v>
      </c>
      <c r="B24" t="s">
        <v>17</v>
      </c>
      <c r="C24" s="2">
        <v>2977.51</v>
      </c>
      <c r="D24" s="1">
        <v>45743</v>
      </c>
      <c r="E24" s="1">
        <v>45743</v>
      </c>
      <c r="H24" t="s">
        <v>79</v>
      </c>
      <c r="I24" t="s">
        <v>31</v>
      </c>
      <c r="J24" t="s">
        <v>32</v>
      </c>
      <c r="K24" t="s">
        <v>80</v>
      </c>
      <c r="L24" t="s">
        <v>34</v>
      </c>
      <c r="M24" s="3">
        <v>15000</v>
      </c>
      <c r="N24" s="3">
        <v>0</v>
      </c>
      <c r="O24" s="4">
        <f t="shared" si="0"/>
        <v>19122.5</v>
      </c>
      <c r="P24" t="s">
        <v>24</v>
      </c>
    </row>
    <row r="25" spans="1:16">
      <c r="A25" t="s">
        <v>16</v>
      </c>
      <c r="B25" t="s">
        <v>17</v>
      </c>
      <c r="C25" s="2">
        <v>2977.51</v>
      </c>
      <c r="D25" s="1">
        <v>45747</v>
      </c>
      <c r="E25" s="1">
        <v>45747</v>
      </c>
      <c r="H25" t="s">
        <v>81</v>
      </c>
      <c r="I25" t="s">
        <v>57</v>
      </c>
      <c r="J25" t="s">
        <v>58</v>
      </c>
      <c r="K25" t="s">
        <v>82</v>
      </c>
      <c r="L25" t="s">
        <v>34</v>
      </c>
      <c r="M25" s="3">
        <v>0</v>
      </c>
      <c r="N25" s="3">
        <v>13687.21</v>
      </c>
      <c r="O25" s="4">
        <f t="shared" si="0"/>
        <v>5435.2900000000009</v>
      </c>
      <c r="P25" t="s">
        <v>24</v>
      </c>
    </row>
    <row r="26" spans="1:16">
      <c r="A26" t="s">
        <v>16</v>
      </c>
      <c r="B26" t="s">
        <v>17</v>
      </c>
      <c r="C26" s="2">
        <v>2977.51</v>
      </c>
      <c r="D26" s="1">
        <v>45756</v>
      </c>
      <c r="E26" s="1">
        <v>45756</v>
      </c>
      <c r="H26" t="s">
        <v>83</v>
      </c>
      <c r="I26" t="s">
        <v>84</v>
      </c>
      <c r="J26" t="s">
        <v>85</v>
      </c>
      <c r="K26" t="s">
        <v>86</v>
      </c>
      <c r="L26" t="s">
        <v>34</v>
      </c>
      <c r="M26" s="3">
        <v>0</v>
      </c>
      <c r="N26" s="3">
        <v>1516</v>
      </c>
      <c r="O26" s="4">
        <f t="shared" si="0"/>
        <v>3919.2900000000009</v>
      </c>
      <c r="P26" t="s">
        <v>24</v>
      </c>
    </row>
    <row r="27" spans="1:16">
      <c r="A27" t="s">
        <v>16</v>
      </c>
      <c r="B27" t="s">
        <v>17</v>
      </c>
      <c r="C27" s="2">
        <v>2977.51</v>
      </c>
      <c r="D27" s="1">
        <v>45757</v>
      </c>
      <c r="E27" s="1">
        <v>45757</v>
      </c>
      <c r="F27" t="s">
        <v>87</v>
      </c>
      <c r="G27" t="s">
        <v>88</v>
      </c>
      <c r="H27" t="s">
        <v>89</v>
      </c>
      <c r="I27" t="s">
        <v>42</v>
      </c>
      <c r="J27" t="s">
        <v>43</v>
      </c>
      <c r="K27" t="s">
        <v>90</v>
      </c>
      <c r="L27" t="s">
        <v>45</v>
      </c>
      <c r="M27" s="3">
        <v>685</v>
      </c>
      <c r="N27" s="3">
        <v>0</v>
      </c>
      <c r="O27" s="4">
        <f t="shared" si="0"/>
        <v>4604.2900000000009</v>
      </c>
      <c r="P27" t="s">
        <v>24</v>
      </c>
    </row>
    <row r="28" spans="1:16">
      <c r="A28" t="s">
        <v>16</v>
      </c>
      <c r="B28" t="s">
        <v>17</v>
      </c>
      <c r="C28" s="2">
        <v>2977.51</v>
      </c>
      <c r="D28" s="1">
        <v>45757</v>
      </c>
      <c r="E28" s="1">
        <v>45757</v>
      </c>
      <c r="F28" t="s">
        <v>87</v>
      </c>
      <c r="G28" t="s">
        <v>91</v>
      </c>
      <c r="H28" t="s">
        <v>89</v>
      </c>
      <c r="I28" t="s">
        <v>42</v>
      </c>
      <c r="J28" t="s">
        <v>43</v>
      </c>
      <c r="K28" t="s">
        <v>90</v>
      </c>
      <c r="L28" t="s">
        <v>45</v>
      </c>
      <c r="M28" s="3">
        <v>310</v>
      </c>
      <c r="N28" s="3">
        <v>0</v>
      </c>
      <c r="O28" s="4">
        <f t="shared" si="0"/>
        <v>4914.2900000000009</v>
      </c>
      <c r="P28" t="s">
        <v>24</v>
      </c>
    </row>
    <row r="29" spans="1:16">
      <c r="A29" t="s">
        <v>16</v>
      </c>
      <c r="B29" t="s">
        <v>17</v>
      </c>
      <c r="C29" s="2">
        <v>2977.51</v>
      </c>
      <c r="D29" s="1">
        <v>45757</v>
      </c>
      <c r="E29" s="1">
        <v>45757</v>
      </c>
      <c r="F29" t="s">
        <v>87</v>
      </c>
      <c r="G29" t="s">
        <v>92</v>
      </c>
      <c r="H29" t="s">
        <v>89</v>
      </c>
      <c r="I29" t="s">
        <v>42</v>
      </c>
      <c r="J29" t="s">
        <v>43</v>
      </c>
      <c r="K29" t="s">
        <v>90</v>
      </c>
      <c r="L29" t="s">
        <v>45</v>
      </c>
      <c r="M29" s="3">
        <v>355</v>
      </c>
      <c r="N29" s="3">
        <v>0</v>
      </c>
      <c r="O29" s="4">
        <f t="shared" si="0"/>
        <v>5269.2900000000009</v>
      </c>
      <c r="P29" t="s">
        <v>24</v>
      </c>
    </row>
    <row r="30" spans="1:16">
      <c r="A30" t="s">
        <v>16</v>
      </c>
      <c r="B30" t="s">
        <v>17</v>
      </c>
      <c r="C30" s="2">
        <v>2977.51</v>
      </c>
      <c r="D30" s="1">
        <v>45757</v>
      </c>
      <c r="E30" s="1">
        <v>45757</v>
      </c>
      <c r="H30" t="s">
        <v>79</v>
      </c>
      <c r="I30" t="s">
        <v>31</v>
      </c>
      <c r="J30" t="s">
        <v>32</v>
      </c>
      <c r="K30" t="s">
        <v>93</v>
      </c>
      <c r="L30" t="s">
        <v>34</v>
      </c>
      <c r="M30" s="3">
        <v>20000</v>
      </c>
      <c r="N30" s="3">
        <v>0</v>
      </c>
      <c r="O30" s="4">
        <f t="shared" si="0"/>
        <v>25269.29</v>
      </c>
      <c r="P30" t="s">
        <v>24</v>
      </c>
    </row>
    <row r="31" spans="1:16">
      <c r="A31" t="s">
        <v>16</v>
      </c>
      <c r="B31" t="s">
        <v>17</v>
      </c>
      <c r="C31" s="2">
        <v>2977.51</v>
      </c>
      <c r="D31" s="1">
        <v>45757</v>
      </c>
      <c r="E31" s="1">
        <v>45757</v>
      </c>
      <c r="H31" t="s">
        <v>94</v>
      </c>
      <c r="I31" t="s">
        <v>95</v>
      </c>
      <c r="J31" t="s">
        <v>96</v>
      </c>
      <c r="K31" t="s">
        <v>97</v>
      </c>
      <c r="L31" t="s">
        <v>34</v>
      </c>
      <c r="M31" s="3">
        <v>0</v>
      </c>
      <c r="N31" s="3">
        <v>174</v>
      </c>
      <c r="O31" s="4">
        <f t="shared" si="0"/>
        <v>25095.29</v>
      </c>
      <c r="P31" t="s">
        <v>24</v>
      </c>
    </row>
    <row r="32" spans="1:16">
      <c r="A32" t="s">
        <v>16</v>
      </c>
      <c r="B32" t="s">
        <v>17</v>
      </c>
      <c r="C32" s="2">
        <v>2977.51</v>
      </c>
      <c r="D32" s="1">
        <v>45757</v>
      </c>
      <c r="E32" s="1">
        <v>45757</v>
      </c>
      <c r="H32" t="s">
        <v>98</v>
      </c>
      <c r="I32" t="s">
        <v>52</v>
      </c>
      <c r="J32" t="s">
        <v>53</v>
      </c>
      <c r="K32" t="s">
        <v>99</v>
      </c>
      <c r="L32" t="s">
        <v>34</v>
      </c>
      <c r="M32" s="3">
        <v>0</v>
      </c>
      <c r="N32" s="3">
        <v>405</v>
      </c>
      <c r="O32" s="4">
        <f t="shared" si="0"/>
        <v>24690.29</v>
      </c>
      <c r="P32" t="s">
        <v>24</v>
      </c>
    </row>
    <row r="33" spans="1:16">
      <c r="A33" t="s">
        <v>16</v>
      </c>
      <c r="B33" t="s">
        <v>17</v>
      </c>
      <c r="C33" s="2">
        <v>2977.51</v>
      </c>
      <c r="D33" s="1">
        <v>45758</v>
      </c>
      <c r="E33" s="1">
        <v>45758</v>
      </c>
      <c r="H33" t="s">
        <v>100</v>
      </c>
      <c r="I33" t="s">
        <v>101</v>
      </c>
      <c r="J33" t="s">
        <v>102</v>
      </c>
      <c r="K33" t="s">
        <v>103</v>
      </c>
      <c r="L33" t="s">
        <v>34</v>
      </c>
      <c r="M33" s="3">
        <v>0</v>
      </c>
      <c r="N33" s="3">
        <v>64</v>
      </c>
      <c r="O33" s="4">
        <f t="shared" si="0"/>
        <v>24626.29</v>
      </c>
      <c r="P33" t="s">
        <v>24</v>
      </c>
    </row>
    <row r="34" spans="1:16">
      <c r="A34" t="s">
        <v>16</v>
      </c>
      <c r="B34" t="s">
        <v>17</v>
      </c>
      <c r="C34" s="2">
        <v>2977.51</v>
      </c>
      <c r="D34" s="1">
        <v>45758</v>
      </c>
      <c r="E34" s="1">
        <v>45758</v>
      </c>
      <c r="H34" t="s">
        <v>104</v>
      </c>
      <c r="I34" t="s">
        <v>66</v>
      </c>
      <c r="J34" t="s">
        <v>67</v>
      </c>
      <c r="K34" t="s">
        <v>105</v>
      </c>
      <c r="L34" t="s">
        <v>34</v>
      </c>
      <c r="M34" s="3">
        <v>0</v>
      </c>
      <c r="N34" s="3">
        <v>90.25</v>
      </c>
      <c r="O34" s="4">
        <f t="shared" si="0"/>
        <v>24536.04</v>
      </c>
      <c r="P34" t="s">
        <v>24</v>
      </c>
    </row>
    <row r="35" spans="1:16">
      <c r="A35" t="s">
        <v>16</v>
      </c>
      <c r="B35" t="s">
        <v>17</v>
      </c>
      <c r="C35" s="2">
        <v>2977.51</v>
      </c>
      <c r="D35" s="1">
        <v>45758</v>
      </c>
      <c r="E35" s="1">
        <v>45758</v>
      </c>
      <c r="H35" t="s">
        <v>106</v>
      </c>
      <c r="I35" t="s">
        <v>107</v>
      </c>
      <c r="J35" t="s">
        <v>108</v>
      </c>
      <c r="K35" t="s">
        <v>109</v>
      </c>
      <c r="L35" t="s">
        <v>34</v>
      </c>
      <c r="M35" s="3">
        <v>0</v>
      </c>
      <c r="N35" s="3">
        <v>110</v>
      </c>
      <c r="O35" s="4">
        <f t="shared" si="0"/>
        <v>24426.04</v>
      </c>
      <c r="P35" t="s">
        <v>24</v>
      </c>
    </row>
    <row r="36" spans="1:16">
      <c r="A36" t="s">
        <v>16</v>
      </c>
      <c r="B36" t="s">
        <v>17</v>
      </c>
      <c r="C36" s="2">
        <v>2977.51</v>
      </c>
      <c r="D36" s="1">
        <v>45758</v>
      </c>
      <c r="E36" s="1">
        <v>45758</v>
      </c>
      <c r="H36" t="s">
        <v>110</v>
      </c>
      <c r="I36" t="s">
        <v>111</v>
      </c>
      <c r="J36" t="s">
        <v>112</v>
      </c>
      <c r="K36" t="s">
        <v>113</v>
      </c>
      <c r="L36" t="s">
        <v>34</v>
      </c>
      <c r="M36" s="3">
        <v>0</v>
      </c>
      <c r="N36" s="3">
        <v>175.53</v>
      </c>
      <c r="O36" s="4">
        <f t="shared" si="0"/>
        <v>24250.510000000002</v>
      </c>
      <c r="P36" t="s">
        <v>24</v>
      </c>
    </row>
    <row r="37" spans="1:16">
      <c r="A37" t="s">
        <v>16</v>
      </c>
      <c r="B37" t="s">
        <v>17</v>
      </c>
      <c r="C37" s="2">
        <v>2977.51</v>
      </c>
      <c r="D37" s="1">
        <v>45758</v>
      </c>
      <c r="E37" s="1">
        <v>45758</v>
      </c>
      <c r="H37" t="s">
        <v>114</v>
      </c>
      <c r="I37" t="s">
        <v>36</v>
      </c>
      <c r="J37" t="s">
        <v>37</v>
      </c>
      <c r="K37" t="s">
        <v>115</v>
      </c>
      <c r="L37" t="s">
        <v>34</v>
      </c>
      <c r="M37" s="3">
        <v>0</v>
      </c>
      <c r="N37" s="3">
        <v>7010</v>
      </c>
      <c r="O37" s="4">
        <f t="shared" si="0"/>
        <v>17240.510000000002</v>
      </c>
      <c r="P37" t="s">
        <v>24</v>
      </c>
    </row>
    <row r="38" spans="1:16">
      <c r="A38" t="s">
        <v>16</v>
      </c>
      <c r="B38" t="s">
        <v>17</v>
      </c>
      <c r="C38" s="2">
        <v>2977.51</v>
      </c>
      <c r="D38" s="1">
        <v>45758</v>
      </c>
      <c r="E38" s="1">
        <v>45758</v>
      </c>
      <c r="H38" t="s">
        <v>116</v>
      </c>
      <c r="I38" t="s">
        <v>117</v>
      </c>
      <c r="J38" t="s">
        <v>118</v>
      </c>
      <c r="K38" t="s">
        <v>119</v>
      </c>
      <c r="L38" t="s">
        <v>34</v>
      </c>
      <c r="M38" s="3">
        <v>0</v>
      </c>
      <c r="N38" s="3">
        <v>455</v>
      </c>
      <c r="O38" s="4">
        <f t="shared" si="0"/>
        <v>16785.510000000002</v>
      </c>
      <c r="P38" t="s">
        <v>24</v>
      </c>
    </row>
    <row r="39" spans="1:16">
      <c r="A39" t="s">
        <v>16</v>
      </c>
      <c r="B39" t="s">
        <v>17</v>
      </c>
      <c r="C39" s="2">
        <v>2977.51</v>
      </c>
      <c r="D39" s="1">
        <v>45758</v>
      </c>
      <c r="E39" s="1">
        <v>45758</v>
      </c>
      <c r="H39" t="s">
        <v>120</v>
      </c>
      <c r="I39" t="s">
        <v>121</v>
      </c>
      <c r="J39" t="s">
        <v>122</v>
      </c>
      <c r="K39" t="s">
        <v>123</v>
      </c>
      <c r="L39" t="s">
        <v>34</v>
      </c>
      <c r="M39" s="3">
        <v>0</v>
      </c>
      <c r="N39" s="3">
        <v>410</v>
      </c>
      <c r="O39" s="4">
        <f t="shared" si="0"/>
        <v>16375.510000000002</v>
      </c>
      <c r="P39" t="s">
        <v>24</v>
      </c>
    </row>
    <row r="40" spans="1:16">
      <c r="A40" t="s">
        <v>16</v>
      </c>
      <c r="B40" t="s">
        <v>17</v>
      </c>
      <c r="C40" s="2">
        <v>2977.51</v>
      </c>
      <c r="D40" s="1">
        <v>45758</v>
      </c>
      <c r="E40" s="1">
        <v>45758</v>
      </c>
      <c r="H40" t="s">
        <v>124</v>
      </c>
      <c r="I40" t="s">
        <v>61</v>
      </c>
      <c r="J40" t="s">
        <v>62</v>
      </c>
      <c r="K40" t="s">
        <v>125</v>
      </c>
      <c r="L40" t="s">
        <v>34</v>
      </c>
      <c r="M40" s="3">
        <v>0</v>
      </c>
      <c r="N40" s="3">
        <v>350</v>
      </c>
      <c r="O40" s="4">
        <f t="shared" si="0"/>
        <v>16025.510000000002</v>
      </c>
      <c r="P40" t="s">
        <v>24</v>
      </c>
    </row>
    <row r="41" spans="1:16">
      <c r="A41" t="s">
        <v>16</v>
      </c>
      <c r="B41" t="s">
        <v>17</v>
      </c>
      <c r="C41" s="2">
        <v>2977.51</v>
      </c>
      <c r="D41" s="1">
        <v>45776</v>
      </c>
      <c r="E41" s="1">
        <v>45776</v>
      </c>
      <c r="H41" t="s">
        <v>126</v>
      </c>
      <c r="I41" t="s">
        <v>57</v>
      </c>
      <c r="J41" t="s">
        <v>58</v>
      </c>
      <c r="K41" t="s">
        <v>127</v>
      </c>
      <c r="L41" t="s">
        <v>34</v>
      </c>
      <c r="M41" s="3">
        <v>0</v>
      </c>
      <c r="N41" s="3">
        <v>13365.07</v>
      </c>
      <c r="O41" s="4">
        <f t="shared" si="0"/>
        <v>2660.4400000000023</v>
      </c>
      <c r="P41" t="s">
        <v>24</v>
      </c>
    </row>
    <row r="42" spans="1:16">
      <c r="A42" t="s">
        <v>16</v>
      </c>
      <c r="B42" t="s">
        <v>17</v>
      </c>
      <c r="C42" s="2">
        <v>2977.51</v>
      </c>
      <c r="D42" s="1">
        <v>45777</v>
      </c>
      <c r="E42" s="1">
        <v>45777</v>
      </c>
      <c r="H42" t="s">
        <v>104</v>
      </c>
      <c r="I42" t="s">
        <v>66</v>
      </c>
      <c r="J42" t="s">
        <v>67</v>
      </c>
      <c r="K42" t="s">
        <v>128</v>
      </c>
      <c r="L42" t="s">
        <v>34</v>
      </c>
      <c r="M42" s="3">
        <v>0</v>
      </c>
      <c r="N42" s="3">
        <v>25.69</v>
      </c>
      <c r="O42" s="4">
        <f t="shared" si="0"/>
        <v>2634.7500000000023</v>
      </c>
      <c r="P42" t="s">
        <v>24</v>
      </c>
    </row>
    <row r="43" spans="1:16">
      <c r="A43" t="s">
        <v>16</v>
      </c>
      <c r="B43" t="s">
        <v>17</v>
      </c>
      <c r="C43" s="2">
        <v>2977.51</v>
      </c>
      <c r="D43" s="1">
        <v>45783</v>
      </c>
      <c r="E43" s="1">
        <v>45783</v>
      </c>
      <c r="H43" t="s">
        <v>120</v>
      </c>
      <c r="I43" t="s">
        <v>121</v>
      </c>
      <c r="J43" t="s">
        <v>122</v>
      </c>
      <c r="K43" t="s">
        <v>129</v>
      </c>
      <c r="L43" t="s">
        <v>34</v>
      </c>
      <c r="M43" s="3">
        <v>0</v>
      </c>
      <c r="N43" s="3">
        <v>240</v>
      </c>
      <c r="O43" s="4">
        <f t="shared" si="0"/>
        <v>2394.7500000000023</v>
      </c>
      <c r="P43" t="s">
        <v>24</v>
      </c>
    </row>
    <row r="44" spans="1:16">
      <c r="A44" t="s">
        <v>16</v>
      </c>
      <c r="B44" t="s">
        <v>17</v>
      </c>
      <c r="C44" s="2">
        <v>2977.51</v>
      </c>
      <c r="D44" s="1">
        <v>45791</v>
      </c>
      <c r="E44" s="1">
        <v>45789</v>
      </c>
      <c r="F44" t="s">
        <v>130</v>
      </c>
      <c r="G44" t="s">
        <v>131</v>
      </c>
      <c r="H44" t="s">
        <v>19</v>
      </c>
      <c r="I44" t="s">
        <v>42</v>
      </c>
      <c r="J44" t="s">
        <v>43</v>
      </c>
      <c r="K44" t="s">
        <v>132</v>
      </c>
      <c r="L44" t="s">
        <v>45</v>
      </c>
      <c r="M44" s="3">
        <v>1270</v>
      </c>
      <c r="N44" s="3">
        <v>0</v>
      </c>
      <c r="O44" s="4">
        <f t="shared" si="0"/>
        <v>3664.7500000000023</v>
      </c>
      <c r="P44" t="s">
        <v>24</v>
      </c>
    </row>
    <row r="45" spans="1:16">
      <c r="A45" t="s">
        <v>16</v>
      </c>
      <c r="B45" t="s">
        <v>17</v>
      </c>
      <c r="C45" s="2">
        <v>2977.51</v>
      </c>
      <c r="D45" s="1">
        <v>45793</v>
      </c>
      <c r="E45" s="1">
        <v>45793</v>
      </c>
      <c r="H45" t="s">
        <v>124</v>
      </c>
      <c r="I45" t="s">
        <v>61</v>
      </c>
      <c r="J45" t="s">
        <v>62</v>
      </c>
      <c r="K45" t="s">
        <v>133</v>
      </c>
      <c r="L45" t="s">
        <v>34</v>
      </c>
      <c r="M45" s="3">
        <v>0</v>
      </c>
      <c r="N45" s="3">
        <v>350</v>
      </c>
      <c r="O45" s="4">
        <f t="shared" si="0"/>
        <v>3314.7500000000023</v>
      </c>
      <c r="P45" t="s">
        <v>24</v>
      </c>
    </row>
    <row r="46" spans="1:16">
      <c r="A46" t="s">
        <v>16</v>
      </c>
      <c r="B46" t="s">
        <v>17</v>
      </c>
      <c r="C46" s="2">
        <v>2977.51</v>
      </c>
      <c r="D46" s="1">
        <v>45796</v>
      </c>
      <c r="E46" s="1">
        <v>45796</v>
      </c>
      <c r="F46" t="s">
        <v>134</v>
      </c>
      <c r="G46" t="s">
        <v>135</v>
      </c>
      <c r="H46" t="s">
        <v>19</v>
      </c>
      <c r="I46" t="s">
        <v>42</v>
      </c>
      <c r="J46" t="s">
        <v>43</v>
      </c>
      <c r="K46" t="s">
        <v>136</v>
      </c>
      <c r="L46" t="s">
        <v>45</v>
      </c>
      <c r="M46" s="3">
        <v>990</v>
      </c>
      <c r="N46" s="3">
        <v>0</v>
      </c>
      <c r="O46" s="4">
        <f t="shared" si="0"/>
        <v>4304.7500000000018</v>
      </c>
      <c r="P46" t="s">
        <v>24</v>
      </c>
    </row>
    <row r="47" spans="1:16">
      <c r="A47" t="s">
        <v>16</v>
      </c>
      <c r="B47" t="s">
        <v>17</v>
      </c>
      <c r="C47" s="2">
        <v>2977.51</v>
      </c>
      <c r="D47" s="1">
        <v>45796</v>
      </c>
      <c r="E47" s="1">
        <v>45796</v>
      </c>
      <c r="F47" t="s">
        <v>134</v>
      </c>
      <c r="G47" t="s">
        <v>135</v>
      </c>
      <c r="H47" t="s">
        <v>19</v>
      </c>
      <c r="I47" t="s">
        <v>42</v>
      </c>
      <c r="J47" t="s">
        <v>43</v>
      </c>
      <c r="K47" t="s">
        <v>136</v>
      </c>
      <c r="L47" t="s">
        <v>45</v>
      </c>
      <c r="M47" s="3">
        <v>615</v>
      </c>
      <c r="N47" s="3">
        <v>0</v>
      </c>
      <c r="O47" s="4">
        <f t="shared" si="0"/>
        <v>4919.7500000000018</v>
      </c>
      <c r="P47" t="s">
        <v>24</v>
      </c>
    </row>
    <row r="48" spans="1:16">
      <c r="A48" t="s">
        <v>16</v>
      </c>
      <c r="B48" t="s">
        <v>17</v>
      </c>
      <c r="C48" s="2">
        <v>2977.51</v>
      </c>
      <c r="D48" s="1">
        <v>45796</v>
      </c>
      <c r="E48" s="1">
        <v>45796</v>
      </c>
      <c r="F48" t="s">
        <v>134</v>
      </c>
      <c r="G48" t="s">
        <v>137</v>
      </c>
      <c r="H48" t="s">
        <v>19</v>
      </c>
      <c r="I48" t="s">
        <v>42</v>
      </c>
      <c r="J48" t="s">
        <v>43</v>
      </c>
      <c r="K48" t="s">
        <v>136</v>
      </c>
      <c r="L48" t="s">
        <v>45</v>
      </c>
      <c r="M48" s="3">
        <v>320</v>
      </c>
      <c r="N48" s="3">
        <v>0</v>
      </c>
      <c r="O48" s="4">
        <f t="shared" si="0"/>
        <v>5239.7500000000018</v>
      </c>
      <c r="P48" t="s">
        <v>24</v>
      </c>
    </row>
    <row r="49" spans="1:16">
      <c r="A49" t="s">
        <v>16</v>
      </c>
      <c r="B49" t="s">
        <v>17</v>
      </c>
      <c r="C49" s="2">
        <v>2977.51</v>
      </c>
      <c r="D49" s="1">
        <v>45796</v>
      </c>
      <c r="E49" s="1">
        <v>45796</v>
      </c>
      <c r="F49" t="s">
        <v>134</v>
      </c>
      <c r="G49" t="s">
        <v>138</v>
      </c>
      <c r="H49" t="s">
        <v>19</v>
      </c>
      <c r="I49" t="s">
        <v>42</v>
      </c>
      <c r="J49" t="s">
        <v>43</v>
      </c>
      <c r="K49" t="s">
        <v>136</v>
      </c>
      <c r="L49" t="s">
        <v>45</v>
      </c>
      <c r="M49" s="3">
        <v>1685</v>
      </c>
      <c r="N49" s="3">
        <v>0</v>
      </c>
      <c r="O49" s="4">
        <f t="shared" si="0"/>
        <v>6924.7500000000018</v>
      </c>
      <c r="P49" t="s">
        <v>24</v>
      </c>
    </row>
    <row r="50" spans="1:16">
      <c r="A50" t="s">
        <v>16</v>
      </c>
      <c r="B50" t="s">
        <v>17</v>
      </c>
      <c r="C50" s="2">
        <v>2977.51</v>
      </c>
      <c r="D50" s="1">
        <v>45804</v>
      </c>
      <c r="E50" s="1">
        <v>45804</v>
      </c>
      <c r="H50" t="s">
        <v>30</v>
      </c>
      <c r="I50" t="s">
        <v>31</v>
      </c>
      <c r="J50" t="s">
        <v>32</v>
      </c>
      <c r="K50" t="s">
        <v>139</v>
      </c>
      <c r="L50" t="s">
        <v>34</v>
      </c>
      <c r="M50" s="3">
        <v>15000</v>
      </c>
      <c r="N50" s="3">
        <v>0</v>
      </c>
      <c r="O50" s="4">
        <f t="shared" si="0"/>
        <v>21924.75</v>
      </c>
      <c r="P50" t="s">
        <v>24</v>
      </c>
    </row>
    <row r="51" spans="1:16">
      <c r="A51" t="s">
        <v>16</v>
      </c>
      <c r="B51" t="s">
        <v>17</v>
      </c>
      <c r="C51" s="2">
        <v>2977.51</v>
      </c>
      <c r="D51" s="1">
        <v>45805</v>
      </c>
      <c r="E51" s="1">
        <v>45805</v>
      </c>
      <c r="H51" t="s">
        <v>140</v>
      </c>
      <c r="I51" t="s">
        <v>66</v>
      </c>
      <c r="J51" t="s">
        <v>67</v>
      </c>
      <c r="K51" t="s">
        <v>141</v>
      </c>
      <c r="L51" t="s">
        <v>34</v>
      </c>
      <c r="M51" s="3">
        <v>0</v>
      </c>
      <c r="N51" s="3">
        <v>90.06</v>
      </c>
      <c r="O51" s="4">
        <f t="shared" si="0"/>
        <v>21834.69</v>
      </c>
      <c r="P51" t="s">
        <v>24</v>
      </c>
    </row>
    <row r="52" spans="1:16">
      <c r="A52" t="s">
        <v>16</v>
      </c>
      <c r="B52" t="s">
        <v>17</v>
      </c>
      <c r="C52" s="2">
        <v>2977.51</v>
      </c>
      <c r="D52" s="1">
        <v>45806</v>
      </c>
      <c r="E52" s="1">
        <v>45806</v>
      </c>
      <c r="H52" t="s">
        <v>58</v>
      </c>
      <c r="I52" t="s">
        <v>57</v>
      </c>
      <c r="J52" t="s">
        <v>58</v>
      </c>
      <c r="K52" t="s">
        <v>142</v>
      </c>
      <c r="L52" t="s">
        <v>34</v>
      </c>
      <c r="M52" s="3">
        <v>0</v>
      </c>
      <c r="N52" s="3">
        <v>13360.05</v>
      </c>
      <c r="O52" s="4">
        <f t="shared" si="0"/>
        <v>8474.64</v>
      </c>
      <c r="P52" t="s">
        <v>24</v>
      </c>
    </row>
    <row r="53" spans="1:16">
      <c r="A53" t="s">
        <v>16</v>
      </c>
      <c r="B53" t="s">
        <v>17</v>
      </c>
      <c r="C53" s="2">
        <v>2977.51</v>
      </c>
      <c r="D53" s="1">
        <v>45806</v>
      </c>
      <c r="E53" s="1">
        <v>45806</v>
      </c>
      <c r="H53" t="s">
        <v>143</v>
      </c>
      <c r="I53" t="s">
        <v>144</v>
      </c>
      <c r="J53" t="s">
        <v>143</v>
      </c>
      <c r="K53" t="s">
        <v>145</v>
      </c>
      <c r="L53" t="s">
        <v>34</v>
      </c>
      <c r="M53" s="3">
        <v>0</v>
      </c>
      <c r="N53" s="3">
        <v>100</v>
      </c>
      <c r="O53" s="4">
        <f t="shared" si="0"/>
        <v>8374.64</v>
      </c>
      <c r="P53" t="s">
        <v>24</v>
      </c>
    </row>
    <row r="54" spans="1:16">
      <c r="A54" t="s">
        <v>16</v>
      </c>
      <c r="B54" t="s">
        <v>17</v>
      </c>
      <c r="C54" s="2">
        <v>2977.51</v>
      </c>
      <c r="D54" s="1">
        <v>45806</v>
      </c>
      <c r="E54" s="1">
        <v>45806</v>
      </c>
      <c r="H54" t="s">
        <v>146</v>
      </c>
      <c r="I54" t="s">
        <v>147</v>
      </c>
      <c r="J54" t="s">
        <v>148</v>
      </c>
      <c r="K54" t="s">
        <v>149</v>
      </c>
      <c r="L54" t="s">
        <v>34</v>
      </c>
      <c r="M54" s="3">
        <v>0</v>
      </c>
      <c r="N54" s="3">
        <v>600</v>
      </c>
      <c r="O54" s="4">
        <f t="shared" si="0"/>
        <v>7774.6399999999994</v>
      </c>
      <c r="P54" t="s">
        <v>24</v>
      </c>
    </row>
    <row r="55" spans="1:16">
      <c r="A55" t="s">
        <v>16</v>
      </c>
      <c r="B55" t="s">
        <v>17</v>
      </c>
      <c r="C55" s="2">
        <v>2977.51</v>
      </c>
      <c r="D55" s="1">
        <v>45806</v>
      </c>
      <c r="E55" s="1">
        <v>45806</v>
      </c>
      <c r="H55" t="s">
        <v>150</v>
      </c>
      <c r="I55" t="s">
        <v>111</v>
      </c>
      <c r="J55" t="s">
        <v>112</v>
      </c>
      <c r="K55" t="s">
        <v>151</v>
      </c>
      <c r="L55" t="s">
        <v>34</v>
      </c>
      <c r="M55" s="3">
        <v>0</v>
      </c>
      <c r="N55" s="3">
        <v>1955.36</v>
      </c>
      <c r="O55" s="4">
        <f t="shared" si="0"/>
        <v>5819.28</v>
      </c>
      <c r="P55" t="s">
        <v>24</v>
      </c>
    </row>
    <row r="56" spans="1:16">
      <c r="A56" t="s">
        <v>16</v>
      </c>
      <c r="B56" t="s">
        <v>17</v>
      </c>
      <c r="C56" s="2">
        <v>2977.51</v>
      </c>
      <c r="D56" s="1">
        <v>45825</v>
      </c>
      <c r="E56" s="1">
        <v>45825</v>
      </c>
      <c r="H56" t="s">
        <v>152</v>
      </c>
      <c r="I56" t="s">
        <v>52</v>
      </c>
      <c r="J56" t="s">
        <v>53</v>
      </c>
      <c r="K56" t="s">
        <v>153</v>
      </c>
      <c r="L56" t="s">
        <v>34</v>
      </c>
      <c r="M56" s="3">
        <v>0</v>
      </c>
      <c r="N56" s="3">
        <v>420</v>
      </c>
      <c r="O56" s="4">
        <f t="shared" si="0"/>
        <v>5399.28</v>
      </c>
      <c r="P56" t="s">
        <v>24</v>
      </c>
    </row>
    <row r="57" spans="1:16">
      <c r="A57" t="s">
        <v>16</v>
      </c>
      <c r="B57" t="s">
        <v>17</v>
      </c>
      <c r="C57" s="2">
        <v>2977.51</v>
      </c>
      <c r="D57" s="1">
        <v>45826</v>
      </c>
      <c r="E57" s="1">
        <v>45826</v>
      </c>
      <c r="H57" t="s">
        <v>154</v>
      </c>
      <c r="I57" t="s">
        <v>61</v>
      </c>
      <c r="J57" t="s">
        <v>62</v>
      </c>
      <c r="K57" t="s">
        <v>155</v>
      </c>
      <c r="L57" t="s">
        <v>34</v>
      </c>
      <c r="M57" s="3">
        <v>0</v>
      </c>
      <c r="N57" s="3">
        <v>350</v>
      </c>
      <c r="O57" s="4">
        <f t="shared" si="0"/>
        <v>5049.28</v>
      </c>
      <c r="P57" t="s">
        <v>24</v>
      </c>
    </row>
    <row r="58" spans="1:16">
      <c r="A58" t="s">
        <v>16</v>
      </c>
      <c r="B58" t="s">
        <v>17</v>
      </c>
      <c r="C58" s="2">
        <v>2977.51</v>
      </c>
      <c r="D58" s="1">
        <v>45833</v>
      </c>
      <c r="E58" s="1">
        <v>45833</v>
      </c>
      <c r="H58" t="s">
        <v>30</v>
      </c>
      <c r="I58" t="s">
        <v>31</v>
      </c>
      <c r="J58" t="s">
        <v>32</v>
      </c>
      <c r="K58" t="s">
        <v>156</v>
      </c>
      <c r="L58" t="s">
        <v>34</v>
      </c>
      <c r="M58" s="3">
        <v>15000</v>
      </c>
      <c r="N58" s="3">
        <v>0</v>
      </c>
      <c r="O58" s="4">
        <f t="shared" si="0"/>
        <v>20049.28</v>
      </c>
      <c r="P58" t="s">
        <v>24</v>
      </c>
    </row>
    <row r="59" spans="1:16">
      <c r="A59" t="s">
        <v>16</v>
      </c>
      <c r="B59" t="s">
        <v>17</v>
      </c>
      <c r="C59" s="2">
        <v>2977.51</v>
      </c>
      <c r="D59" s="1">
        <v>45833</v>
      </c>
      <c r="E59" s="1">
        <v>45833</v>
      </c>
      <c r="H59" t="s">
        <v>30</v>
      </c>
      <c r="I59" t="s">
        <v>31</v>
      </c>
      <c r="J59" t="s">
        <v>32</v>
      </c>
      <c r="K59" t="s">
        <v>157</v>
      </c>
      <c r="L59" t="s">
        <v>34</v>
      </c>
      <c r="M59" s="3">
        <v>15000</v>
      </c>
      <c r="N59" s="3">
        <v>0</v>
      </c>
      <c r="O59" s="4">
        <f t="shared" si="0"/>
        <v>35049.279999999999</v>
      </c>
      <c r="P59" t="s">
        <v>24</v>
      </c>
    </row>
    <row r="60" spans="1:16">
      <c r="A60" t="s">
        <v>16</v>
      </c>
      <c r="B60" t="s">
        <v>17</v>
      </c>
      <c r="C60" s="2">
        <v>2977.51</v>
      </c>
      <c r="D60" s="1">
        <v>45833</v>
      </c>
      <c r="E60" s="1">
        <v>45833</v>
      </c>
      <c r="H60" t="s">
        <v>58</v>
      </c>
      <c r="I60" t="s">
        <v>57</v>
      </c>
      <c r="J60" t="s">
        <v>58</v>
      </c>
      <c r="K60" t="s">
        <v>158</v>
      </c>
      <c r="L60" t="s">
        <v>34</v>
      </c>
      <c r="M60" s="3">
        <v>0</v>
      </c>
      <c r="N60" s="3">
        <v>13360.07</v>
      </c>
      <c r="O60" s="4">
        <f t="shared" si="0"/>
        <v>21689.21</v>
      </c>
      <c r="P60" t="s">
        <v>24</v>
      </c>
    </row>
    <row r="61" spans="1:16">
      <c r="A61" t="s">
        <v>16</v>
      </c>
      <c r="B61" t="s">
        <v>17</v>
      </c>
      <c r="C61" s="2">
        <v>2977.51</v>
      </c>
      <c r="D61" s="1">
        <v>45834</v>
      </c>
      <c r="E61" s="1">
        <v>45834</v>
      </c>
      <c r="H61" t="s">
        <v>58</v>
      </c>
      <c r="I61" t="s">
        <v>57</v>
      </c>
      <c r="J61" t="s">
        <v>58</v>
      </c>
      <c r="K61" t="s">
        <v>159</v>
      </c>
      <c r="L61" t="s">
        <v>34</v>
      </c>
      <c r="M61" s="3">
        <v>0</v>
      </c>
      <c r="N61" s="3">
        <v>13360.07</v>
      </c>
      <c r="O61" s="4">
        <f t="shared" si="0"/>
        <v>8329.14</v>
      </c>
      <c r="P6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FFA4-64AC-4D7E-BF48-445C0F4A054E}">
  <dimension ref="A1:P4"/>
  <sheetViews>
    <sheetView workbookViewId="0">
      <selection activeCell="O3" sqref="O3"/>
    </sheetView>
  </sheetViews>
  <sheetFormatPr defaultRowHeight="15"/>
  <cols>
    <col min="1" max="1" width="7.85546875" bestFit="1" customWidth="1"/>
    <col min="2" max="2" width="18.85546875" bestFit="1" customWidth="1"/>
    <col min="3" max="4" width="10.7109375" bestFit="1" customWidth="1"/>
    <col min="5" max="5" width="10.140625" bestFit="1" customWidth="1"/>
    <col min="6" max="6" width="11.42578125" bestFit="1" customWidth="1"/>
    <col min="7" max="7" width="9.140625" bestFit="1" customWidth="1"/>
    <col min="8" max="8" width="7.140625" bestFit="1" customWidth="1"/>
    <col min="9" max="9" width="9.140625" bestFit="1" customWidth="1"/>
    <col min="10" max="10" width="15.140625" bestFit="1" customWidth="1"/>
    <col min="11" max="11" width="13.5703125" bestFit="1" customWidth="1"/>
    <col min="13" max="13" width="10.5703125" style="3" bestFit="1" customWidth="1"/>
    <col min="14" max="14" width="9.140625" style="3" customWidth="1"/>
    <col min="15" max="15" width="11.42578125" customWidth="1"/>
    <col min="16" max="16" width="3.7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2">
        <v>8329.14</v>
      </c>
      <c r="D2" s="1">
        <v>45841</v>
      </c>
      <c r="E2" s="1">
        <v>45841</v>
      </c>
      <c r="H2" t="s">
        <v>58</v>
      </c>
      <c r="I2" t="s">
        <v>57</v>
      </c>
      <c r="J2" t="s">
        <v>58</v>
      </c>
      <c r="K2" t="s">
        <v>160</v>
      </c>
      <c r="L2" t="s">
        <v>34</v>
      </c>
      <c r="M2" s="3">
        <v>13360.07</v>
      </c>
      <c r="N2" s="3">
        <v>0</v>
      </c>
      <c r="O2" s="4">
        <f>C2+M2-N2</f>
        <v>21689.21</v>
      </c>
      <c r="P2" t="s">
        <v>24</v>
      </c>
    </row>
    <row r="3" spans="1:16">
      <c r="A3" t="s">
        <v>16</v>
      </c>
      <c r="B3" t="s">
        <v>17</v>
      </c>
      <c r="C3" s="2">
        <v>8329.14</v>
      </c>
      <c r="D3" s="1">
        <v>45860</v>
      </c>
      <c r="E3" s="1">
        <v>45860</v>
      </c>
      <c r="F3" t="s">
        <v>161</v>
      </c>
      <c r="G3" t="s">
        <v>162</v>
      </c>
      <c r="H3" t="s">
        <v>163</v>
      </c>
      <c r="I3" t="s">
        <v>42</v>
      </c>
      <c r="J3" t="s">
        <v>43</v>
      </c>
      <c r="K3" t="s">
        <v>164</v>
      </c>
      <c r="L3" t="s">
        <v>45</v>
      </c>
      <c r="M3" s="3">
        <v>2360</v>
      </c>
      <c r="N3" s="3">
        <v>0</v>
      </c>
      <c r="O3" s="4">
        <f>O2+M3-N3</f>
        <v>24049.21</v>
      </c>
      <c r="P3" t="s">
        <v>24</v>
      </c>
    </row>
    <row r="4" spans="1:16">
      <c r="A4" t="s">
        <v>16</v>
      </c>
      <c r="B4" t="s">
        <v>17</v>
      </c>
      <c r="C4" s="2">
        <v>8329.14</v>
      </c>
      <c r="D4" s="1">
        <v>45860</v>
      </c>
      <c r="E4" s="1">
        <v>45860</v>
      </c>
      <c r="F4" t="s">
        <v>161</v>
      </c>
      <c r="G4" t="s">
        <v>165</v>
      </c>
      <c r="H4" t="s">
        <v>163</v>
      </c>
      <c r="I4" t="s">
        <v>42</v>
      </c>
      <c r="J4" t="s">
        <v>43</v>
      </c>
      <c r="K4" t="s">
        <v>164</v>
      </c>
      <c r="L4" t="s">
        <v>45</v>
      </c>
      <c r="M4" s="3">
        <v>310</v>
      </c>
      <c r="N4" s="3">
        <v>0</v>
      </c>
      <c r="O4" s="4">
        <f>O3+M4-N4</f>
        <v>24359.21</v>
      </c>
      <c r="P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A0AC-34EF-472C-A1E2-B6224A2F4517}">
  <dimension ref="A1:P2"/>
  <sheetViews>
    <sheetView zoomScale="130" workbookViewId="0">
      <selection activeCell="E2" sqref="E2"/>
    </sheetView>
  </sheetViews>
  <sheetFormatPr defaultRowHeight="15"/>
  <cols>
    <col min="1" max="1" width="7.85546875" bestFit="1" customWidth="1"/>
    <col min="2" max="2" width="18.85546875" bestFit="1" customWidth="1"/>
    <col min="3" max="3" width="10.85546875" bestFit="1" customWidth="1"/>
    <col min="4" max="5" width="11.140625" bestFit="1" customWidth="1"/>
    <col min="6" max="7" width="9.140625" bestFit="1" customWidth="1"/>
    <col min="8" max="8" width="12.85546875" bestFit="1" customWidth="1"/>
    <col min="9" max="9" width="9.140625" bestFit="1" customWidth="1"/>
    <col min="10" max="10" width="13.7109375" bestFit="1" customWidth="1"/>
    <col min="11" max="11" width="13.5703125" bestFit="1" customWidth="1"/>
    <col min="13" max="13" width="8.5703125" customWidth="1"/>
    <col min="14" max="14" width="8.42578125" bestFit="1" customWidth="1"/>
    <col min="15" max="15" width="10.28515625" bestFit="1" customWidth="1"/>
    <col min="16" max="16" width="4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3">
        <v>9994.77</v>
      </c>
      <c r="D2" s="1">
        <v>45873</v>
      </c>
      <c r="E2" s="1">
        <v>45873</v>
      </c>
      <c r="H2" t="s">
        <v>166</v>
      </c>
      <c r="I2" t="s">
        <v>52</v>
      </c>
      <c r="J2" t="s">
        <v>53</v>
      </c>
      <c r="K2" t="s">
        <v>167</v>
      </c>
      <c r="L2" t="s">
        <v>34</v>
      </c>
      <c r="M2" s="3">
        <v>0</v>
      </c>
      <c r="N2" s="3">
        <v>645</v>
      </c>
      <c r="O2" s="4">
        <f>C2+M2-N2</f>
        <v>9349.77</v>
      </c>
      <c r="P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8BF8-FC12-4CAA-8C40-59E0ECB66CA9}">
  <dimension ref="A1:P5"/>
  <sheetViews>
    <sheetView workbookViewId="0">
      <selection activeCell="O4" sqref="O4"/>
    </sheetView>
  </sheetViews>
  <sheetFormatPr defaultRowHeight="15"/>
  <cols>
    <col min="1" max="1" width="11.7109375" bestFit="1" customWidth="1"/>
    <col min="2" max="2" width="20.85546875" bestFit="1" customWidth="1"/>
    <col min="3" max="3" width="12.85546875" bestFit="1" customWidth="1"/>
    <col min="4" max="4" width="12.7109375" bestFit="1" customWidth="1"/>
    <col min="5" max="5" width="15.5703125" customWidth="1"/>
    <col min="6" max="7" width="11" bestFit="1" customWidth="1"/>
    <col min="8" max="8" width="13.85546875" bestFit="1" customWidth="1"/>
    <col min="9" max="9" width="10.42578125" bestFit="1" customWidth="1"/>
    <col min="10" max="10" width="15.5703125" bestFit="1" customWidth="1"/>
    <col min="11" max="11" width="16" bestFit="1" customWidth="1"/>
    <col min="12" max="12" width="10.28515625" bestFit="1" customWidth="1"/>
    <col min="13" max="13" width="9.28515625" bestFit="1" customWidth="1"/>
    <col min="14" max="14" width="6.5703125" bestFit="1" customWidth="1"/>
    <col min="16" max="16" width="4.5703125" bestFit="1" customWidth="1"/>
  </cols>
  <sheetData>
    <row r="1" spans="1:16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P1" t="s">
        <v>182</v>
      </c>
    </row>
    <row r="2" spans="1:16">
      <c r="A2">
        <v>1110106</v>
      </c>
      <c r="B2" t="s">
        <v>17</v>
      </c>
      <c r="C2">
        <v>9920.7099999999991</v>
      </c>
      <c r="D2" t="s">
        <v>183</v>
      </c>
      <c r="E2" t="s">
        <v>183</v>
      </c>
      <c r="H2" t="s">
        <v>184</v>
      </c>
      <c r="I2">
        <v>2112627</v>
      </c>
      <c r="J2" t="s">
        <v>53</v>
      </c>
      <c r="K2">
        <v>25000149</v>
      </c>
      <c r="L2" t="s">
        <v>34</v>
      </c>
      <c r="M2">
        <v>0</v>
      </c>
      <c r="N2">
        <v>75</v>
      </c>
      <c r="O2" t="s">
        <v>185</v>
      </c>
      <c r="P2" t="s">
        <v>24</v>
      </c>
    </row>
    <row r="3" spans="1:16">
      <c r="A3">
        <v>1110106</v>
      </c>
      <c r="B3" t="s">
        <v>17</v>
      </c>
      <c r="C3">
        <v>9920.7099999999991</v>
      </c>
      <c r="D3" t="s">
        <v>186</v>
      </c>
      <c r="E3" t="s">
        <v>186</v>
      </c>
      <c r="H3" t="s">
        <v>187</v>
      </c>
      <c r="I3">
        <v>2112677</v>
      </c>
      <c r="J3" t="s">
        <v>62</v>
      </c>
      <c r="K3">
        <v>25000155</v>
      </c>
      <c r="L3" t="s">
        <v>34</v>
      </c>
      <c r="M3">
        <v>0</v>
      </c>
      <c r="N3">
        <v>350</v>
      </c>
      <c r="O3" t="s">
        <v>185</v>
      </c>
      <c r="P3" t="s">
        <v>24</v>
      </c>
    </row>
    <row r="4" spans="1:16">
      <c r="A4">
        <v>1110106</v>
      </c>
      <c r="B4" t="s">
        <v>17</v>
      </c>
      <c r="C4">
        <v>9920.7099999999991</v>
      </c>
      <c r="D4" t="s">
        <v>188</v>
      </c>
      <c r="E4" t="s">
        <v>188</v>
      </c>
      <c r="H4" t="s">
        <v>189</v>
      </c>
      <c r="I4">
        <v>2151105</v>
      </c>
      <c r="J4" t="s">
        <v>32</v>
      </c>
      <c r="K4">
        <v>25000150</v>
      </c>
      <c r="L4" t="s">
        <v>34</v>
      </c>
      <c r="M4">
        <v>5000</v>
      </c>
      <c r="N4">
        <v>0</v>
      </c>
      <c r="P4" t="s">
        <v>24</v>
      </c>
    </row>
    <row r="5" spans="1:16">
      <c r="A5">
        <v>1110106</v>
      </c>
      <c r="B5" t="s">
        <v>17</v>
      </c>
      <c r="C5">
        <v>9920.7099999999991</v>
      </c>
      <c r="D5" t="s">
        <v>190</v>
      </c>
      <c r="E5" t="s">
        <v>190</v>
      </c>
      <c r="H5" t="s">
        <v>187</v>
      </c>
      <c r="I5">
        <v>2112722</v>
      </c>
      <c r="J5" t="s">
        <v>58</v>
      </c>
      <c r="K5">
        <v>25000156</v>
      </c>
      <c r="L5" t="s">
        <v>34</v>
      </c>
      <c r="M5">
        <v>0</v>
      </c>
      <c r="N5">
        <v>13360.06</v>
      </c>
      <c r="O5" t="s">
        <v>191</v>
      </c>
      <c r="P5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315D-FA9A-4927-B9F8-96A9B84C527F}">
  <dimension ref="A1:Q10"/>
  <sheetViews>
    <sheetView tabSelected="1" topLeftCell="D1" workbookViewId="0">
      <selection activeCell="J2" sqref="J2:J10"/>
    </sheetView>
  </sheetViews>
  <sheetFormatPr defaultRowHeight="15"/>
  <cols>
    <col min="1" max="1" width="11.140625" bestFit="1" customWidth="1"/>
    <col min="2" max="2" width="18.85546875" bestFit="1" customWidth="1"/>
    <col min="3" max="3" width="11.140625" bestFit="1" customWidth="1"/>
    <col min="4" max="4" width="15.42578125" bestFit="1" customWidth="1"/>
    <col min="5" max="5" width="10.140625" bestFit="1" customWidth="1"/>
    <col min="6" max="6" width="11.42578125" bestFit="1" customWidth="1"/>
    <col min="7" max="7" width="7.140625" bestFit="1" customWidth="1"/>
    <col min="8" max="8" width="15.5703125" bestFit="1" customWidth="1"/>
    <col min="9" max="9" width="13.85546875" bestFit="1" customWidth="1"/>
    <col min="10" max="10" width="17.5703125" bestFit="1" customWidth="1"/>
    <col min="11" max="11" width="15.28515625" bestFit="1" customWidth="1"/>
    <col min="12" max="12" width="9.5703125" bestFit="1" customWidth="1"/>
    <col min="13" max="15" width="10.5703125" bestFit="1" customWidth="1"/>
    <col min="16" max="16" width="4.42578125" bestFit="1" customWidth="1"/>
    <col min="17" max="17" width="13.5703125" bestFit="1" customWidth="1"/>
  </cols>
  <sheetData>
    <row r="1" spans="1:17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192</v>
      </c>
      <c r="P1" t="s">
        <v>182</v>
      </c>
    </row>
    <row r="2" spans="1:17">
      <c r="A2" t="s">
        <v>16</v>
      </c>
      <c r="B2" t="s">
        <v>17</v>
      </c>
      <c r="C2">
        <v>1135.6500000000001</v>
      </c>
      <c r="D2" s="1">
        <v>45944</v>
      </c>
      <c r="E2" s="1">
        <v>45944</v>
      </c>
      <c r="F2" t="s">
        <v>193</v>
      </c>
      <c r="G2">
        <v>770</v>
      </c>
      <c r="H2" t="s">
        <v>19</v>
      </c>
      <c r="I2" s="5" t="s">
        <v>42</v>
      </c>
      <c r="J2" t="s">
        <v>43</v>
      </c>
      <c r="K2" s="5" t="s">
        <v>194</v>
      </c>
      <c r="L2" t="s">
        <v>45</v>
      </c>
      <c r="M2" s="9">
        <v>600</v>
      </c>
      <c r="N2" s="4">
        <v>0</v>
      </c>
      <c r="O2" s="4">
        <f>C2-N2+M2</f>
        <v>1735.65</v>
      </c>
      <c r="P2" t="s">
        <v>24</v>
      </c>
      <c r="Q2" t="s">
        <v>195</v>
      </c>
    </row>
    <row r="3" spans="1:17">
      <c r="A3" t="s">
        <v>16</v>
      </c>
      <c r="B3" t="s">
        <v>17</v>
      </c>
      <c r="C3">
        <v>1135.6500000000001</v>
      </c>
      <c r="D3" s="1">
        <v>45944</v>
      </c>
      <c r="E3" s="1">
        <v>45944</v>
      </c>
      <c r="F3" t="s">
        <v>193</v>
      </c>
      <c r="G3">
        <v>697354</v>
      </c>
      <c r="H3" t="s">
        <v>19</v>
      </c>
      <c r="I3" s="5" t="s">
        <v>42</v>
      </c>
      <c r="J3" t="s">
        <v>43</v>
      </c>
      <c r="K3" s="5" t="s">
        <v>194</v>
      </c>
      <c r="L3" t="s">
        <v>45</v>
      </c>
      <c r="M3" s="9">
        <v>1770</v>
      </c>
      <c r="N3" s="4">
        <v>0</v>
      </c>
      <c r="O3" s="4">
        <f t="shared" ref="O3:O10" si="0">O2-N3+M3</f>
        <v>3505.65</v>
      </c>
      <c r="P3" t="s">
        <v>24</v>
      </c>
      <c r="Q3" t="s">
        <v>195</v>
      </c>
    </row>
    <row r="4" spans="1:17">
      <c r="A4" t="s">
        <v>16</v>
      </c>
      <c r="B4" t="s">
        <v>17</v>
      </c>
      <c r="C4">
        <v>1135.6500000000001</v>
      </c>
      <c r="D4" s="1">
        <v>45945</v>
      </c>
      <c r="E4" s="1">
        <v>45945</v>
      </c>
      <c r="H4" t="s">
        <v>196</v>
      </c>
      <c r="I4" s="5" t="s">
        <v>61</v>
      </c>
      <c r="J4" t="s">
        <v>62</v>
      </c>
      <c r="K4" s="5" t="s">
        <v>197</v>
      </c>
      <c r="L4" t="s">
        <v>34</v>
      </c>
      <c r="M4" s="4">
        <v>0</v>
      </c>
      <c r="N4" s="9">
        <v>350</v>
      </c>
      <c r="O4" s="4">
        <f t="shared" si="0"/>
        <v>3155.65</v>
      </c>
      <c r="P4" t="s">
        <v>24</v>
      </c>
      <c r="Q4" t="s">
        <v>185</v>
      </c>
    </row>
    <row r="5" spans="1:17">
      <c r="A5" t="s">
        <v>16</v>
      </c>
      <c r="B5" t="s">
        <v>17</v>
      </c>
      <c r="C5" s="2">
        <v>1135.6500000000001</v>
      </c>
      <c r="D5" s="1">
        <v>45957</v>
      </c>
      <c r="E5" s="1">
        <v>45957</v>
      </c>
      <c r="H5" t="s">
        <v>198</v>
      </c>
      <c r="I5" t="s">
        <v>31</v>
      </c>
      <c r="J5" t="s">
        <v>32</v>
      </c>
      <c r="K5" t="s">
        <v>199</v>
      </c>
      <c r="L5" t="s">
        <v>34</v>
      </c>
      <c r="M5" s="10">
        <v>13000</v>
      </c>
      <c r="N5" s="10">
        <v>0</v>
      </c>
      <c r="O5" s="7">
        <f t="shared" si="0"/>
        <v>16155.65</v>
      </c>
      <c r="P5" t="s">
        <v>24</v>
      </c>
      <c r="Q5" t="s">
        <v>200</v>
      </c>
    </row>
    <row r="6" spans="1:17">
      <c r="A6" t="s">
        <v>16</v>
      </c>
      <c r="B6" t="s">
        <v>17</v>
      </c>
      <c r="C6" s="2">
        <v>1135.6500000000001</v>
      </c>
      <c r="D6" s="1">
        <v>45958</v>
      </c>
      <c r="E6" s="1">
        <v>45958</v>
      </c>
      <c r="H6" t="s">
        <v>58</v>
      </c>
      <c r="I6" t="s">
        <v>57</v>
      </c>
      <c r="J6" t="s">
        <v>58</v>
      </c>
      <c r="K6" t="s">
        <v>201</v>
      </c>
      <c r="L6" t="s">
        <v>34</v>
      </c>
      <c r="M6" s="3">
        <v>0</v>
      </c>
      <c r="N6" s="10">
        <v>13360.06</v>
      </c>
      <c r="O6" s="4">
        <f t="shared" si="0"/>
        <v>2795.59</v>
      </c>
      <c r="P6" t="s">
        <v>24</v>
      </c>
      <c r="Q6" t="s">
        <v>185</v>
      </c>
    </row>
    <row r="7" spans="1:17">
      <c r="A7" t="s">
        <v>16</v>
      </c>
      <c r="B7" t="s">
        <v>17</v>
      </c>
      <c r="C7" s="2">
        <v>1135.6500000000001</v>
      </c>
      <c r="D7" s="1">
        <v>45959</v>
      </c>
      <c r="E7" s="1">
        <v>45959</v>
      </c>
      <c r="H7" t="s">
        <v>77</v>
      </c>
      <c r="I7" t="s">
        <v>61</v>
      </c>
      <c r="J7" t="s">
        <v>62</v>
      </c>
      <c r="K7" t="s">
        <v>202</v>
      </c>
      <c r="L7" t="s">
        <v>34</v>
      </c>
      <c r="M7" s="3">
        <v>0</v>
      </c>
      <c r="N7" s="10">
        <v>350</v>
      </c>
      <c r="O7" s="4">
        <f t="shared" si="0"/>
        <v>2445.59</v>
      </c>
      <c r="P7" t="s">
        <v>24</v>
      </c>
      <c r="Q7" t="s">
        <v>185</v>
      </c>
    </row>
    <row r="8" spans="1:17">
      <c r="A8" t="s">
        <v>16</v>
      </c>
      <c r="B8" t="s">
        <v>17</v>
      </c>
      <c r="C8" s="2">
        <v>1135.6500000000001</v>
      </c>
      <c r="D8" s="1">
        <v>45959</v>
      </c>
      <c r="E8" s="1">
        <v>45959</v>
      </c>
      <c r="H8" t="s">
        <v>203</v>
      </c>
      <c r="I8" t="s">
        <v>36</v>
      </c>
      <c r="J8" t="s">
        <v>37</v>
      </c>
      <c r="K8" t="s">
        <v>204</v>
      </c>
      <c r="L8" t="s">
        <v>34</v>
      </c>
      <c r="M8" s="3">
        <v>0</v>
      </c>
      <c r="N8" s="10">
        <v>1800</v>
      </c>
      <c r="O8" s="4">
        <f t="shared" si="0"/>
        <v>645.59000000000015</v>
      </c>
      <c r="P8" t="s">
        <v>24</v>
      </c>
      <c r="Q8" t="s">
        <v>185</v>
      </c>
    </row>
    <row r="9" spans="1:17">
      <c r="A9" t="s">
        <v>16</v>
      </c>
      <c r="B9" t="s">
        <v>17</v>
      </c>
      <c r="C9" s="2">
        <v>645.59</v>
      </c>
      <c r="D9" s="1">
        <v>45985</v>
      </c>
      <c r="E9" s="1">
        <v>45985</v>
      </c>
      <c r="H9" t="s">
        <v>205</v>
      </c>
      <c r="I9" t="s">
        <v>31</v>
      </c>
      <c r="J9" t="s">
        <v>32</v>
      </c>
      <c r="K9" t="s">
        <v>206</v>
      </c>
      <c r="L9" t="s">
        <v>34</v>
      </c>
      <c r="M9" s="8">
        <v>14000</v>
      </c>
      <c r="N9" s="8">
        <v>0</v>
      </c>
      <c r="O9" s="4">
        <f t="shared" si="0"/>
        <v>14645.59</v>
      </c>
      <c r="P9" t="s">
        <v>24</v>
      </c>
      <c r="Q9" t="s">
        <v>200</v>
      </c>
    </row>
    <row r="10" spans="1:17">
      <c r="A10" t="s">
        <v>16</v>
      </c>
      <c r="B10" t="s">
        <v>17</v>
      </c>
      <c r="C10" s="2">
        <v>645.59</v>
      </c>
      <c r="D10" s="1">
        <v>45987</v>
      </c>
      <c r="E10" s="1">
        <v>45987</v>
      </c>
      <c r="H10" t="s">
        <v>207</v>
      </c>
      <c r="I10" t="s">
        <v>57</v>
      </c>
      <c r="J10" t="s">
        <v>58</v>
      </c>
      <c r="K10" t="s">
        <v>208</v>
      </c>
      <c r="L10" t="s">
        <v>34</v>
      </c>
      <c r="M10" s="3">
        <v>0</v>
      </c>
      <c r="N10" s="11">
        <v>13360.06</v>
      </c>
      <c r="O10" s="6">
        <f t="shared" si="0"/>
        <v>1285.5300000000007</v>
      </c>
      <c r="P10" t="s">
        <v>24</v>
      </c>
      <c r="Q10" t="s">
        <v>185</v>
      </c>
    </row>
  </sheetData>
  <autoFilter ref="A1:Q10" xr:uid="{93A3315D-FA9A-4927-B9F8-96A9B84C527F}">
    <sortState xmlns:xlrd2="http://schemas.microsoft.com/office/spreadsheetml/2017/richdata2" ref="A2:Q10">
      <sortCondition ref="D1:D1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9__x05d5__x05dc__x05dd_ xmlns="bf6e26dd-18a8-4616-a791-cb157ef1bf56">true</_x05e9__x05d5__x05dc__x05dd_>
    <Paper_x0020_Invoice xmlns="bf6e26dd-18a8-4616-a791-cb157ef1bf56">true</Paper_x0020_Invoice>
    <Paid xmlns="bf6e26dd-18a8-4616-a791-cb157ef1bf56">true</Paid>
    <printed xmlns="bf6e26dd-18a8-4616-a791-cb157ef1bf56">true</printed>
    <Amount xmlns="bf6e26dd-18a8-4616-a791-cb157ef1bf56" xsi:nil="true"/>
    <lcf76f155ced4ddcb4097134ff3c332f xmlns="d4108fd0-bac5-48aa-9f20-39453d102dac">
      <Terms xmlns="http://schemas.microsoft.com/office/infopath/2007/PartnerControls"/>
    </lcf76f155ced4ddcb4097134ff3c332f>
    <Currency xmlns="bf6e26dd-18a8-4616-a791-cb157ef1bf56" xsi:nil="true"/>
    <_x0069_ar6 xmlns="bf6e26dd-18a8-4616-a791-cb157ef1bf56" xsi:nil="true"/>
    <Invoice_x0020_date xmlns="bf6e26dd-18a8-4616-a791-cb157ef1bf56" xsi:nil="true"/>
    <Payment_x0020_Date xmlns="bf6e26dd-18a8-4616-a791-cb157ef1bf56" xsi:nil="true"/>
    <TaxCatchAll xmlns="2af0a221-e6e5-4f13-a0b5-c8b7582ab8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ED5E569D553A40AE8A0585BABBF674" ma:contentTypeVersion="28" ma:contentTypeDescription="Create a new document." ma:contentTypeScope="" ma:versionID="0f0386f5fb46f34a7047c9267d79960a">
  <xsd:schema xmlns:xsd="http://www.w3.org/2001/XMLSchema" xmlns:xs="http://www.w3.org/2001/XMLSchema" xmlns:p="http://schemas.microsoft.com/office/2006/metadata/properties" xmlns:ns2="bf6e26dd-18a8-4616-a791-cb157ef1bf56" xmlns:ns3="2af0a221-e6e5-4f13-a0b5-c8b7582ab823" xmlns:ns4="d4108fd0-bac5-48aa-9f20-39453d102dac" targetNamespace="http://schemas.microsoft.com/office/2006/metadata/properties" ma:root="true" ma:fieldsID="81ec9e367a933ed0cbc2e855037c1f4c" ns2:_="" ns3:_="" ns4:_="">
    <xsd:import namespace="bf6e26dd-18a8-4616-a791-cb157ef1bf56"/>
    <xsd:import namespace="2af0a221-e6e5-4f13-a0b5-c8b7582ab823"/>
    <xsd:import namespace="d4108fd0-bac5-48aa-9f20-39453d102dac"/>
    <xsd:element name="properties">
      <xsd:complexType>
        <xsd:sequence>
          <xsd:element name="documentManagement">
            <xsd:complexType>
              <xsd:all>
                <xsd:element ref="ns2:Invoice_x0020_date" minOccurs="0"/>
                <xsd:element ref="ns2:Currency" minOccurs="0"/>
                <xsd:element ref="ns2:Amount" minOccurs="0"/>
                <xsd:element ref="ns2:Payment_x0020_Date" minOccurs="0"/>
                <xsd:element ref="ns2:Paid" minOccurs="0"/>
                <xsd:element ref="ns2:Paper_x0020_Invoice" minOccurs="0"/>
                <xsd:element ref="ns2:printed" minOccurs="0"/>
                <xsd:element ref="ns2:_x0069_ar6" minOccurs="0"/>
                <xsd:element ref="ns2:_x05e9__x05d5__x05dc__x05dd_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3:TaxCatchAll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e26dd-18a8-4616-a791-cb157ef1bf56" elementFormDefault="qualified">
    <xsd:import namespace="http://schemas.microsoft.com/office/2006/documentManagement/types"/>
    <xsd:import namespace="http://schemas.microsoft.com/office/infopath/2007/PartnerControls"/>
    <xsd:element name="Invoice_x0020_date" ma:index="8" nillable="true" ma:displayName="Invoice date" ma:format="DateOnly" ma:internalName="Invoice_x0020_date">
      <xsd:simpleType>
        <xsd:restriction base="dms:DateTime"/>
      </xsd:simpleType>
    </xsd:element>
    <xsd:element name="Currency" ma:index="9" nillable="true" ma:displayName="Currency" ma:LCID="1033" ma:internalName="Currency">
      <xsd:simpleType>
        <xsd:restriction base="dms:Currency"/>
      </xsd:simpleType>
    </xsd:element>
    <xsd:element name="Amount" ma:index="10" nillable="true" ma:displayName="Amount" ma:internalName="Amount">
      <xsd:simpleType>
        <xsd:restriction base="dms:Number"/>
      </xsd:simpleType>
    </xsd:element>
    <xsd:element name="Payment_x0020_Date" ma:index="11" nillable="true" ma:displayName="Payment Date" ma:format="DateOnly" ma:internalName="Payment_x0020_Date">
      <xsd:simpleType>
        <xsd:restriction base="dms:DateTime"/>
      </xsd:simpleType>
    </xsd:element>
    <xsd:element name="Paid" ma:index="12" nillable="true" ma:displayName="Paid" ma:default="1" ma:internalName="Paid">
      <xsd:simpleType>
        <xsd:restriction base="dms:Boolean"/>
      </xsd:simpleType>
    </xsd:element>
    <xsd:element name="Paper_x0020_Invoice" ma:index="13" nillable="true" ma:displayName="Paper Invoice" ma:default="1" ma:internalName="Paper_x0020_Invoice">
      <xsd:simpleType>
        <xsd:restriction base="dms:Boolean"/>
      </xsd:simpleType>
    </xsd:element>
    <xsd:element name="printed" ma:index="14" nillable="true" ma:displayName="printed" ma:default="1" ma:internalName="printed">
      <xsd:simpleType>
        <xsd:restriction base="dms:Boolean"/>
      </xsd:simpleType>
    </xsd:element>
    <xsd:element name="_x0069_ar6" ma:index="15" nillable="true" ma:displayName="comments" ma:internalName="comments">
      <xsd:simpleType>
        <xsd:restriction base="dms:Text"/>
      </xsd:simpleType>
    </xsd:element>
    <xsd:element name="_x05e9__x05d5__x05dc__x05dd_" ma:index="16" nillable="true" ma:displayName="שולם" ma:default="1" ma:internalName="_x05e9__x05d5__x05dc__x05dd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0a221-e6e5-4f13-a0b5-c8b7582ab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69fd50b9-1309-43d4-8f81-e2e219870528}" ma:internalName="TaxCatchAll" ma:showField="CatchAllData" ma:web="2af0a221-e6e5-4f13-a0b5-c8b7582ab8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08fd0-bac5-48aa-9f20-39453d102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ed4fa224-d827-46e9-8e8b-c04fa556e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403BED-4547-45E1-92AB-C4A8A45D0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E662CB-72AB-4FB9-B676-481151B5D14D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d4108fd0-bac5-48aa-9f20-39453d102dac"/>
    <ds:schemaRef ds:uri="2af0a221-e6e5-4f13-a0b5-c8b7582ab823"/>
    <ds:schemaRef ds:uri="bf6e26dd-18a8-4616-a791-cb157ef1bf5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6BE55AA-6C80-4774-B5BD-0DC13379B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e26dd-18a8-4616-a791-cb157ef1bf56"/>
    <ds:schemaRef ds:uri="2af0a221-e6e5-4f13-a0b5-c8b7582ab823"/>
    <ds:schemaRef ds:uri="d4108fd0-bac5-48aa-9f20-39453d102d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Jan-Jun 2025</vt:lpstr>
      <vt:lpstr>Jul 2025</vt:lpstr>
      <vt:lpstr>Aug 2025</vt:lpstr>
      <vt:lpstr>Sep 2025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</dc:creator>
  <cp:keywords/>
  <dc:description/>
  <cp:lastModifiedBy>Elijah Fisher</cp:lastModifiedBy>
  <cp:revision/>
  <dcterms:created xsi:type="dcterms:W3CDTF">2025-07-27T15:06:35Z</dcterms:created>
  <dcterms:modified xsi:type="dcterms:W3CDTF">2026-02-10T13:31:57Z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0x01010026ED5E569D553A40AE8A0585BABBF674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