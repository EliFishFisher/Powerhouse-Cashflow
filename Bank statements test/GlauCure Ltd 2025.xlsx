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corneatvi.sharepoint.com/sites/Finance/Shared Documents/Bookkeeping/CF Reports/"/>
    </mc:Choice>
  </mc:AlternateContent>
  <xr:revisionPtr revIDLastSave="129" documentId="13_ncr:1_{10B8105A-C666-42D1-903F-5025B2E12B4E}" xr6:coauthVersionLast="47" xr6:coauthVersionMax="47" xr10:uidLastSave="{1F67BBD9-4851-4BA8-A4C4-5223C9BFC931}"/>
  <bookViews>
    <workbookView xWindow="-28920" yWindow="1575" windowWidth="29040" windowHeight="15720" firstSheet="3" activeTab="4" xr2:uid="{00000000-000D-0000-FFFF-FFFF00000000}"/>
  </bookViews>
  <sheets>
    <sheet name="Jul 2025" sheetId="1" r:id="rId1"/>
    <sheet name="Sep 2025" sheetId="2" r:id="rId2"/>
    <sheet name="Oct 2025 " sheetId="3" r:id="rId3"/>
    <sheet name="Nov 2025" sheetId="4" r:id="rId4"/>
    <sheet name="Dec 2025" sheetId="5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2" i="5" l="1"/>
  <c r="O10" i="5"/>
  <c r="O9" i="5"/>
  <c r="O4" i="5"/>
  <c r="O5" i="5"/>
  <c r="O6" i="5" s="1"/>
  <c r="O7" i="5" s="1"/>
  <c r="O8" i="5" s="1"/>
  <c r="O3" i="5"/>
  <c r="O2" i="5"/>
  <c r="O4" i="3"/>
  <c r="O5" i="3" s="1"/>
  <c r="O6" i="3" s="1"/>
  <c r="O7" i="3" s="1"/>
  <c r="O3" i="3"/>
  <c r="O2" i="3"/>
  <c r="O13" i="3"/>
  <c r="O8" i="3"/>
  <c r="O9" i="3" s="1"/>
  <c r="O10" i="3" s="1"/>
  <c r="O11" i="3" s="1"/>
  <c r="O12" i="3" s="1"/>
  <c r="O15" i="3"/>
</calcChain>
</file>

<file path=xl/sharedStrings.xml><?xml version="1.0" encoding="utf-8"?>
<sst xmlns="http://schemas.openxmlformats.org/spreadsheetml/2006/main" count="342" uniqueCount="128">
  <si>
    <t>חשבון</t>
  </si>
  <si>
    <t>תאור</t>
  </si>
  <si>
    <t>יתרת פתיחה</t>
  </si>
  <si>
    <t>תאריך למאזן</t>
  </si>
  <si>
    <t>תאריך ערך</t>
  </si>
  <si>
    <t>אסמכתא 1</t>
  </si>
  <si>
    <t>אסמכתא 2</t>
  </si>
  <si>
    <t>פרטים</t>
  </si>
  <si>
    <t>חשבון נגדי</t>
  </si>
  <si>
    <t>תאור חשבון נגדי</t>
  </si>
  <si>
    <t>מס. תנועת היומן</t>
  </si>
  <si>
    <t>סוג תנועה</t>
  </si>
  <si>
    <t>חובה</t>
  </si>
  <si>
    <t>זכות</t>
  </si>
  <si>
    <t>מט.</t>
  </si>
  <si>
    <t>1110101</t>
  </si>
  <si>
    <t>בנק הפועלים 584-47209</t>
  </si>
  <si>
    <t>BTG2500015</t>
  </si>
  <si>
    <t>העברה בנקאית</t>
  </si>
  <si>
    <t>2111124</t>
  </si>
  <si>
    <t>IBI</t>
  </si>
  <si>
    <t>25000091</t>
  </si>
  <si>
    <t>העב</t>
  </si>
  <si>
    <t>USD</t>
  </si>
  <si>
    <t>15997109</t>
  </si>
  <si>
    <t>מכס ומעמ</t>
  </si>
  <si>
    <t>1151103</t>
  </si>
  <si>
    <t>חו"ז מע"מ V.A.T To Be Recieved</t>
  </si>
  <si>
    <t>25000092</t>
  </si>
  <si>
    <t>הת</t>
  </si>
  <si>
    <t>BTG2500016</t>
  </si>
  <si>
    <t>2112594</t>
  </si>
  <si>
    <t>Semel hagalil design and production ltd</t>
  </si>
  <si>
    <t>25000096</t>
  </si>
  <si>
    <t>עמלות 7/25</t>
  </si>
  <si>
    <t>815100</t>
  </si>
  <si>
    <t>מימון -עמלות בנק</t>
  </si>
  <si>
    <t>25000097</t>
  </si>
  <si>
    <t>25000125</t>
  </si>
  <si>
    <t>1110102</t>
  </si>
  <si>
    <t>בנק הפועלים 584-47209 USD</t>
  </si>
  <si>
    <t>1110104</t>
  </si>
  <si>
    <t>בנק $ SVB</t>
  </si>
  <si>
    <t>CLA Avi Kaplan</t>
  </si>
  <si>
    <t>2241157</t>
  </si>
  <si>
    <t>25000093</t>
  </si>
  <si>
    <t>Account No.</t>
  </si>
  <si>
    <t>Description</t>
  </si>
  <si>
    <t>Opening Bal</t>
  </si>
  <si>
    <t>Transaction Date</t>
  </si>
  <si>
    <t>Due Date</t>
  </si>
  <si>
    <t>Refer. 1</t>
  </si>
  <si>
    <t>Refer. 2</t>
  </si>
  <si>
    <t>Details</t>
  </si>
  <si>
    <t>Contra Account</t>
  </si>
  <si>
    <t>Contra Acct Descrip</t>
  </si>
  <si>
    <t>Journal Entry No.</t>
  </si>
  <si>
    <t>Entry Code</t>
  </si>
  <si>
    <t>Debit</t>
  </si>
  <si>
    <t>Credit</t>
  </si>
  <si>
    <t>Poalim 47209 ILS</t>
  </si>
  <si>
    <t>RCG25000001</t>
  </si>
  <si>
    <t>עומר כהן רכישת אופציות</t>
  </si>
  <si>
    <t>Customers</t>
  </si>
  <si>
    <t>REC</t>
  </si>
  <si>
    <t>RCG25000002</t>
  </si>
  <si>
    <t>14/09/2025</t>
  </si>
  <si>
    <t>RCG25000003</t>
  </si>
  <si>
    <t>ספיר בוכריס עבור אופציות</t>
  </si>
  <si>
    <t>18/09/2025</t>
  </si>
  <si>
    <t>RCG25000004</t>
  </si>
  <si>
    <t>שי שרבו אופציות</t>
  </si>
  <si>
    <t>30/09/2025</t>
  </si>
  <si>
    <t>עמ פעולות</t>
  </si>
  <si>
    <t>Financial expenses-Bank Fees</t>
  </si>
  <si>
    <t>ADJ</t>
  </si>
  <si>
    <t>Poalim 47209 USD</t>
  </si>
  <si>
    <t>SVP Bank</t>
  </si>
  <si>
    <t>Balance</t>
  </si>
  <si>
    <t>Curr</t>
  </si>
  <si>
    <t>58403</t>
  </si>
  <si>
    <t>Conversion</t>
  </si>
  <si>
    <t>25000138</t>
  </si>
  <si>
    <t>M</t>
  </si>
  <si>
    <t>BTG2500019</t>
  </si>
  <si>
    <t>2111286</t>
  </si>
  <si>
    <t>Hy Labs</t>
  </si>
  <si>
    <t>25000143</t>
  </si>
  <si>
    <t>TRN</t>
  </si>
  <si>
    <t>RCG25000005</t>
  </si>
  <si>
    <t>לוטן הכהן אופציות</t>
  </si>
  <si>
    <t>1141100</t>
  </si>
  <si>
    <t>25000145</t>
  </si>
  <si>
    <t>VAT receivables</t>
  </si>
  <si>
    <t>25000146</t>
  </si>
  <si>
    <t>BTG2500020</t>
  </si>
  <si>
    <t>2151101</t>
  </si>
  <si>
    <t>Corneat vision AP</t>
  </si>
  <si>
    <t>25000144</t>
  </si>
  <si>
    <t>עמלות 10.25</t>
  </si>
  <si>
    <t>25000151</t>
  </si>
  <si>
    <t>המרה</t>
  </si>
  <si>
    <t>BTG2500017</t>
  </si>
  <si>
    <t>2112509</t>
  </si>
  <si>
    <t>Arnon, Tadmor, Levy</t>
  </si>
  <si>
    <t>25000140</t>
  </si>
  <si>
    <t>BTG2500018</t>
  </si>
  <si>
    <t>2111116</t>
  </si>
  <si>
    <t>פרל כהן צדק לצר ברץ PEARL COHEN</t>
  </si>
  <si>
    <t>25000141</t>
  </si>
  <si>
    <t>Transfer from SVB</t>
  </si>
  <si>
    <t>25000147</t>
  </si>
  <si>
    <t>עמלה</t>
  </si>
  <si>
    <t>25000148</t>
  </si>
  <si>
    <t>Total</t>
  </si>
  <si>
    <t>13/11/2025</t>
  </si>
  <si>
    <t>BTG2500021</t>
  </si>
  <si>
    <t>Pearl Cohen</t>
  </si>
  <si>
    <t>Supplier</t>
  </si>
  <si>
    <t>המרה לשקלים</t>
  </si>
  <si>
    <t>פ</t>
  </si>
  <si>
    <t>החזר הוצ לקורנית 2024</t>
  </si>
  <si>
    <t>חו"ז חברה קשורה- קורנית</t>
  </si>
  <si>
    <t>Exp. Reimbusment - CorNeat</t>
  </si>
  <si>
    <t>החזר הוצ לקורנית 2025</t>
  </si>
  <si>
    <t>החזר הוצ קורנית 2024</t>
  </si>
  <si>
    <t>25000173</t>
  </si>
  <si>
    <t>Suppliers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</si>
</sst>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2" x14ac:knownFonts="1">
    <font>
      <sz val="11"/>
      <name val="Aptos Narrow"/>
    </font>
    <font>
      <sz val="11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9">
    <xf numFmtId="0" fontId="0" fillId="0" borderId="0" xfId="0"/>
    <xf numFmtId="14" fontId="0" fillId="0" borderId="0" xfId="0" applyNumberFormat="1"/>
    <xf numFmtId="164" fontId="0" fillId="0" borderId="0" xfId="1" applyFont="1"/>
    <xf numFmtId="0" fontId="0" fillId="0" borderId="0" xfId="0" applyAlignment="1">
      <alignment readingOrder="2"/>
    </xf>
    <xf numFmtId="2" fontId="0" fillId="0" borderId="0" xfId="0" applyNumberFormat="1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readingOrder="2"/>
    </xf>
    <xf numFmtId="164" fontId="0" fillId="0" borderId="1" xfId="1" applyFont="1" applyBorder="1"/>
    <xf numFmtId="2" fontId="0" fillId="0" borderId="1" xfId="0" applyNumberFormat="1" applyBorder="1"/>
    <xf numFmtId="164" fontId="0" fillId="2" borderId="1" xfId="1" applyFont="1" applyFill="1" applyBorder="1"/>
    <xf numFmtId="164" fontId="0" fillId="0" borderId="0" xfId="1" applyFont="1" applyBorder="1"/>
    <xf numFmtId="0" fontId="0" fillId="0" borderId="0" xfId="0" applyAlignment="1">
      <alignment horizontal="left"/>
    </xf>
    <xf numFmtId="0" fontId="0" fillId="0" borderId="0" xfId="0" applyAlignment="1">
      <alignment horizontal="left" readingOrder="2"/>
    </xf>
    <xf numFmtId="0" fontId="0" fillId="0" borderId="1" xfId="0" applyBorder="1" applyAlignment="1">
      <alignment horizontal="left"/>
    </xf>
    <xf numFmtId="0" fontId="0" fillId="0" borderId="2" xfId="0" applyBorder="1"/>
    <xf numFmtId="2" fontId="0" fillId="0" borderId="2" xfId="0" applyNumberFormat="1" applyBorder="1"/>
    <xf numFmtId="14" fontId="0" fillId="0" borderId="2" xfId="0" applyNumberFormat="1" applyBorder="1"/>
    <xf numFmtId="0" fontId="0" fillId="0" borderId="2" xfId="0" applyBorder="1" applyAlignment="1">
      <alignment horizontal="left"/>
    </xf>
    <xf numFmtId="164" fontId="0" fillId="0" borderId="2" xfId="1" applyFont="1" applyBorder="1"/>
    <xf numFmtId="164" fontId="0" fillId="2" borderId="2" xfId="1" applyFont="1" applyFill="1" applyBorder="1"/>
    <xf numFmtId="164" fontId="0" fillId="0" borderId="3" xfId="1" applyFont="1" applyBorder="1"/>
    <xf numFmtId="164" fontId="0" fillId="2" borderId="3" xfId="0" applyNumberFormat="1" applyFill="1" applyBorder="1"/>
    <xf numFmtId="164" fontId="0" fillId="0" borderId="0" xfId="0" applyNumberFormat="1"/>
    <xf numFmtId="43" fontId="0" fillId="0" borderId="0" xfId="0" applyNumberFormat="1"/>
    <xf numFmtId="164" fontId="0" fillId="0" borderId="1" xfId="0" applyNumberFormat="1" applyBorder="1"/>
    <xf numFmtId="0" fontId="1" fillId="0" borderId="1" xfId="0" applyFont="1" applyBorder="1"/>
    <xf numFmtId="43" fontId="0" fillId="3" borderId="1" xfId="0" applyNumberFormat="1" applyFill="1" applyBorder="1"/>
    <xf numFmtId="43" fontId="0" fillId="3" borderId="0" xfId="0" applyNumberFormat="1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"/>
  <sheetViews>
    <sheetView workbookViewId="0">
      <selection activeCell="A9" sqref="A9"/>
    </sheetView>
  </sheetViews>
  <sheetFormatPr defaultColWidth="9" defaultRowHeight="14.5" x14ac:dyDescent="0.35"/>
  <cols>
    <col min="2" max="2" width="24.1796875" bestFit="1" customWidth="1"/>
    <col min="3" max="3" width="10.7265625" bestFit="1" customWidth="1"/>
    <col min="4" max="4" width="13.1796875" customWidth="1"/>
    <col min="5" max="5" width="10.81640625" customWidth="1"/>
    <col min="8" max="8" width="13.453125" bestFit="1" customWidth="1"/>
    <col min="10" max="10" width="35" bestFit="1" customWidth="1"/>
    <col min="13" max="13" width="10.1796875" bestFit="1" customWidth="1"/>
    <col min="14" max="14" width="9.1796875" bestFit="1" customWidth="1"/>
  </cols>
  <sheetData>
    <row r="1" spans="1:1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P1" t="s">
        <v>14</v>
      </c>
    </row>
    <row r="2" spans="1:16" x14ac:dyDescent="0.35">
      <c r="A2" t="s">
        <v>15</v>
      </c>
      <c r="B2" t="s">
        <v>16</v>
      </c>
      <c r="C2" s="2">
        <v>50024.1</v>
      </c>
      <c r="D2" s="1">
        <v>45854</v>
      </c>
      <c r="E2" s="1">
        <v>45854</v>
      </c>
      <c r="F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s="2">
        <v>0</v>
      </c>
      <c r="N2" s="2">
        <v>1189.08</v>
      </c>
      <c r="P2" t="s">
        <v>23</v>
      </c>
    </row>
    <row r="3" spans="1:16" x14ac:dyDescent="0.35">
      <c r="A3" t="s">
        <v>15</v>
      </c>
      <c r="B3" t="s">
        <v>16</v>
      </c>
      <c r="C3" s="2">
        <v>50024.1</v>
      </c>
      <c r="D3" s="1">
        <v>45859</v>
      </c>
      <c r="E3" s="1">
        <v>45859</v>
      </c>
      <c r="F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29</v>
      </c>
      <c r="M3" s="2">
        <v>12367.21</v>
      </c>
      <c r="N3" s="2">
        <v>0</v>
      </c>
      <c r="P3" t="s">
        <v>23</v>
      </c>
    </row>
    <row r="4" spans="1:16" x14ac:dyDescent="0.35">
      <c r="A4" t="s">
        <v>15</v>
      </c>
      <c r="B4" t="s">
        <v>16</v>
      </c>
      <c r="C4" s="2">
        <v>50024.1</v>
      </c>
      <c r="D4" s="1">
        <v>45869</v>
      </c>
      <c r="E4" s="1">
        <v>45869</v>
      </c>
      <c r="F4" t="s">
        <v>30</v>
      </c>
      <c r="H4" t="s">
        <v>18</v>
      </c>
      <c r="I4" t="s">
        <v>31</v>
      </c>
      <c r="J4" t="s">
        <v>32</v>
      </c>
      <c r="K4" t="s">
        <v>33</v>
      </c>
      <c r="L4" t="s">
        <v>22</v>
      </c>
      <c r="M4" s="2">
        <v>0</v>
      </c>
      <c r="N4" s="2">
        <v>315.51</v>
      </c>
      <c r="P4" t="s">
        <v>23</v>
      </c>
    </row>
    <row r="5" spans="1:16" x14ac:dyDescent="0.35">
      <c r="A5" t="s">
        <v>15</v>
      </c>
      <c r="B5" t="s">
        <v>16</v>
      </c>
      <c r="C5" s="2">
        <v>50024.1</v>
      </c>
      <c r="D5" s="1">
        <v>45869</v>
      </c>
      <c r="E5" s="1">
        <v>45869</v>
      </c>
      <c r="H5" t="s">
        <v>34</v>
      </c>
      <c r="I5" t="s">
        <v>35</v>
      </c>
      <c r="J5" t="s">
        <v>36</v>
      </c>
      <c r="K5" t="s">
        <v>37</v>
      </c>
      <c r="L5" t="s">
        <v>29</v>
      </c>
      <c r="M5" s="2">
        <v>0</v>
      </c>
      <c r="N5" s="2">
        <v>24.9</v>
      </c>
      <c r="P5" t="s">
        <v>23</v>
      </c>
    </row>
    <row r="6" spans="1:16" x14ac:dyDescent="0.35">
      <c r="A6" t="s">
        <v>15</v>
      </c>
      <c r="B6" t="s">
        <v>16</v>
      </c>
      <c r="C6" s="2">
        <v>50024.1</v>
      </c>
      <c r="D6" s="1">
        <v>45877</v>
      </c>
      <c r="E6" s="1">
        <v>45877</v>
      </c>
      <c r="F6" t="s">
        <v>24</v>
      </c>
      <c r="H6" t="s">
        <v>25</v>
      </c>
      <c r="I6" t="s">
        <v>26</v>
      </c>
      <c r="J6" t="s">
        <v>27</v>
      </c>
      <c r="K6" t="s">
        <v>38</v>
      </c>
      <c r="L6" t="s">
        <v>29</v>
      </c>
      <c r="M6" s="2">
        <v>2409.61</v>
      </c>
      <c r="N6" s="2">
        <v>0</v>
      </c>
      <c r="P6" t="s">
        <v>23</v>
      </c>
    </row>
    <row r="7" spans="1:16" x14ac:dyDescent="0.35">
      <c r="A7" t="s">
        <v>39</v>
      </c>
      <c r="B7" t="s">
        <v>40</v>
      </c>
      <c r="C7" s="2">
        <v>697.72</v>
      </c>
      <c r="M7" s="2">
        <v>0</v>
      </c>
      <c r="N7" s="2">
        <v>0</v>
      </c>
      <c r="P7" t="s">
        <v>23</v>
      </c>
    </row>
    <row r="8" spans="1:16" x14ac:dyDescent="0.35">
      <c r="A8" t="s">
        <v>41</v>
      </c>
      <c r="B8" t="s">
        <v>42</v>
      </c>
      <c r="C8" s="2">
        <v>35125.339999999997</v>
      </c>
      <c r="D8" s="1">
        <v>45853</v>
      </c>
      <c r="E8" s="1">
        <v>45853</v>
      </c>
      <c r="H8" t="s">
        <v>43</v>
      </c>
      <c r="I8" t="s">
        <v>44</v>
      </c>
      <c r="J8" t="s">
        <v>43</v>
      </c>
      <c r="K8" t="s">
        <v>45</v>
      </c>
      <c r="L8" t="s">
        <v>29</v>
      </c>
      <c r="M8" s="2">
        <v>30000</v>
      </c>
      <c r="N8" s="2">
        <v>0</v>
      </c>
      <c r="P8" t="s">
        <v>23</v>
      </c>
    </row>
    <row r="9" spans="1:16" x14ac:dyDescent="0.35">
      <c r="M9" s="2"/>
      <c r="N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A7C26-A4E4-4427-A04E-7C2E1722C062}">
  <dimension ref="A1:P8"/>
  <sheetViews>
    <sheetView workbookViewId="0">
      <selection activeCell="A8" sqref="A8:XFD8"/>
    </sheetView>
  </sheetViews>
  <sheetFormatPr defaultRowHeight="14.5" x14ac:dyDescent="0.35"/>
  <cols>
    <col min="1" max="1" width="11.7265625" bestFit="1" customWidth="1"/>
    <col min="2" max="2" width="16.1796875" bestFit="1" customWidth="1"/>
    <col min="3" max="3" width="11.1796875" bestFit="1" customWidth="1"/>
    <col min="4" max="4" width="15.453125" bestFit="1" customWidth="1"/>
    <col min="5" max="5" width="16.54296875" customWidth="1"/>
    <col min="6" max="6" width="12.453125" bestFit="1" customWidth="1"/>
    <col min="7" max="7" width="7.1796875" bestFit="1" customWidth="1"/>
    <col min="8" max="8" width="20.26953125" bestFit="1" customWidth="1"/>
    <col min="9" max="9" width="13.81640625" bestFit="1" customWidth="1"/>
    <col min="10" max="10" width="17.54296875" bestFit="1" customWidth="1"/>
    <col min="11" max="11" width="15.26953125" bestFit="1" customWidth="1"/>
    <col min="12" max="12" width="9.54296875" bestFit="1" customWidth="1"/>
    <col min="13" max="14" width="8" customWidth="1"/>
    <col min="16" max="16" width="4.453125" bestFit="1" customWidth="1"/>
  </cols>
  <sheetData>
    <row r="1" spans="1:16" x14ac:dyDescent="0.35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P1" s="3" t="s">
        <v>14</v>
      </c>
    </row>
    <row r="2" spans="1:16" x14ac:dyDescent="0.35">
      <c r="A2">
        <v>1110101</v>
      </c>
      <c r="B2" t="s">
        <v>60</v>
      </c>
      <c r="C2">
        <v>63248.23</v>
      </c>
      <c r="D2" s="1">
        <v>45939</v>
      </c>
      <c r="E2" s="1">
        <v>45939</v>
      </c>
      <c r="F2" t="s">
        <v>61</v>
      </c>
      <c r="H2" s="3" t="s">
        <v>62</v>
      </c>
      <c r="I2">
        <v>1141100</v>
      </c>
      <c r="J2" t="s">
        <v>63</v>
      </c>
      <c r="K2">
        <v>25000130</v>
      </c>
      <c r="L2" t="s">
        <v>64</v>
      </c>
      <c r="M2">
        <v>10.1</v>
      </c>
      <c r="N2">
        <v>0</v>
      </c>
      <c r="P2" t="s">
        <v>23</v>
      </c>
    </row>
    <row r="3" spans="1:16" x14ac:dyDescent="0.35">
      <c r="A3">
        <v>1110101</v>
      </c>
      <c r="B3" t="s">
        <v>60</v>
      </c>
      <c r="C3">
        <v>63248.23</v>
      </c>
      <c r="D3" s="1">
        <v>45970</v>
      </c>
      <c r="E3" s="1">
        <v>45970</v>
      </c>
      <c r="F3" t="s">
        <v>65</v>
      </c>
      <c r="H3" s="3" t="s">
        <v>62</v>
      </c>
      <c r="I3">
        <v>1141100</v>
      </c>
      <c r="J3" t="s">
        <v>63</v>
      </c>
      <c r="K3">
        <v>25000135</v>
      </c>
      <c r="L3" t="s">
        <v>64</v>
      </c>
      <c r="M3">
        <v>23.57</v>
      </c>
      <c r="N3">
        <v>0</v>
      </c>
      <c r="P3" t="s">
        <v>23</v>
      </c>
    </row>
    <row r="4" spans="1:16" x14ac:dyDescent="0.35">
      <c r="A4">
        <v>1110101</v>
      </c>
      <c r="B4" t="s">
        <v>60</v>
      </c>
      <c r="C4">
        <v>63248.23</v>
      </c>
      <c r="D4" t="s">
        <v>66</v>
      </c>
      <c r="E4" t="s">
        <v>66</v>
      </c>
      <c r="F4" t="s">
        <v>67</v>
      </c>
      <c r="H4" s="3" t="s">
        <v>68</v>
      </c>
      <c r="I4">
        <v>1141100</v>
      </c>
      <c r="J4" t="s">
        <v>63</v>
      </c>
      <c r="K4">
        <v>25000136</v>
      </c>
      <c r="L4" t="s">
        <v>64</v>
      </c>
      <c r="M4">
        <v>102.19</v>
      </c>
      <c r="N4">
        <v>0</v>
      </c>
      <c r="P4" t="s">
        <v>23</v>
      </c>
    </row>
    <row r="5" spans="1:16" x14ac:dyDescent="0.35">
      <c r="A5">
        <v>1110101</v>
      </c>
      <c r="B5" t="s">
        <v>60</v>
      </c>
      <c r="C5">
        <v>63248.23</v>
      </c>
      <c r="D5" t="s">
        <v>69</v>
      </c>
      <c r="E5" t="s">
        <v>69</v>
      </c>
      <c r="F5" t="s">
        <v>70</v>
      </c>
      <c r="H5" s="3" t="s">
        <v>71</v>
      </c>
      <c r="I5">
        <v>1141100</v>
      </c>
      <c r="J5" t="s">
        <v>63</v>
      </c>
      <c r="K5">
        <v>25000137</v>
      </c>
      <c r="L5" t="s">
        <v>64</v>
      </c>
      <c r="M5">
        <v>25.98</v>
      </c>
      <c r="N5">
        <v>0</v>
      </c>
      <c r="P5" t="s">
        <v>23</v>
      </c>
    </row>
    <row r="6" spans="1:16" x14ac:dyDescent="0.35">
      <c r="A6">
        <v>1110101</v>
      </c>
      <c r="B6" t="s">
        <v>60</v>
      </c>
      <c r="C6">
        <v>63248.23</v>
      </c>
      <c r="D6" t="s">
        <v>72</v>
      </c>
      <c r="E6" t="s">
        <v>72</v>
      </c>
      <c r="H6" s="3" t="s">
        <v>73</v>
      </c>
      <c r="I6">
        <v>815100</v>
      </c>
      <c r="J6" t="s">
        <v>74</v>
      </c>
      <c r="K6">
        <v>25000139</v>
      </c>
      <c r="L6" t="s">
        <v>75</v>
      </c>
      <c r="M6">
        <v>0</v>
      </c>
      <c r="N6">
        <v>22.51</v>
      </c>
      <c r="P6" t="s">
        <v>23</v>
      </c>
    </row>
    <row r="7" spans="1:16" x14ac:dyDescent="0.35">
      <c r="A7">
        <v>1110102</v>
      </c>
      <c r="B7" t="s">
        <v>76</v>
      </c>
      <c r="C7">
        <v>697.72</v>
      </c>
      <c r="M7">
        <v>0</v>
      </c>
      <c r="N7">
        <v>0</v>
      </c>
      <c r="P7" t="s">
        <v>23</v>
      </c>
    </row>
    <row r="8" spans="1:16" x14ac:dyDescent="0.35">
      <c r="A8">
        <v>1110104</v>
      </c>
      <c r="B8" t="s">
        <v>77</v>
      </c>
      <c r="C8">
        <v>65125.34</v>
      </c>
      <c r="M8">
        <v>0</v>
      </c>
      <c r="N8">
        <v>0</v>
      </c>
      <c r="P8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9C73F3-1810-4857-B599-45E555F7DF38}">
  <dimension ref="A1:P28"/>
  <sheetViews>
    <sheetView workbookViewId="0">
      <selection activeCell="L21" sqref="L21"/>
    </sheetView>
  </sheetViews>
  <sheetFormatPr defaultRowHeight="14.5" x14ac:dyDescent="0.35"/>
  <cols>
    <col min="1" max="1" width="11.7265625" bestFit="1" customWidth="1"/>
    <col min="2" max="2" width="16.1796875" bestFit="1" customWidth="1"/>
    <col min="3" max="3" width="11.1796875" bestFit="1" customWidth="1"/>
    <col min="4" max="4" width="15.453125" bestFit="1" customWidth="1"/>
    <col min="5" max="5" width="16.54296875" customWidth="1"/>
    <col min="6" max="6" width="12.453125" bestFit="1" customWidth="1"/>
    <col min="7" max="7" width="7.1796875" bestFit="1" customWidth="1"/>
    <col min="8" max="8" width="20.26953125" bestFit="1" customWidth="1"/>
    <col min="9" max="9" width="13.81640625" bestFit="1" customWidth="1"/>
    <col min="10" max="10" width="30.1796875" bestFit="1" customWidth="1"/>
    <col min="11" max="11" width="15.26953125" bestFit="1" customWidth="1"/>
    <col min="12" max="12" width="9.54296875" bestFit="1" customWidth="1"/>
    <col min="13" max="14" width="10.7265625" bestFit="1" customWidth="1"/>
    <col min="15" max="15" width="18.81640625" bestFit="1" customWidth="1"/>
    <col min="16" max="16" width="4.453125" bestFit="1" customWidth="1"/>
  </cols>
  <sheetData>
    <row r="1" spans="1:16" x14ac:dyDescent="0.35">
      <c r="A1" t="s">
        <v>46</v>
      </c>
      <c r="B1" t="s">
        <v>47</v>
      </c>
      <c r="C1" t="s">
        <v>48</v>
      </c>
      <c r="D1" t="s">
        <v>49</v>
      </c>
      <c r="E1" t="s">
        <v>50</v>
      </c>
      <c r="F1" t="s">
        <v>51</v>
      </c>
      <c r="G1" t="s">
        <v>52</v>
      </c>
      <c r="H1" t="s">
        <v>53</v>
      </c>
      <c r="I1" t="s">
        <v>54</v>
      </c>
      <c r="J1" t="s">
        <v>55</v>
      </c>
      <c r="K1" t="s">
        <v>56</v>
      </c>
      <c r="L1" t="s">
        <v>57</v>
      </c>
      <c r="M1" t="s">
        <v>58</v>
      </c>
      <c r="N1" t="s">
        <v>59</v>
      </c>
      <c r="O1" t="s">
        <v>78</v>
      </c>
      <c r="P1" t="s">
        <v>79</v>
      </c>
    </row>
    <row r="2" spans="1:16" x14ac:dyDescent="0.35">
      <c r="A2" t="s">
        <v>15</v>
      </c>
      <c r="B2" t="s">
        <v>60</v>
      </c>
      <c r="C2">
        <v>63387.56</v>
      </c>
      <c r="D2" s="1">
        <v>45936</v>
      </c>
      <c r="E2" s="1">
        <v>45936</v>
      </c>
      <c r="F2" t="s">
        <v>80</v>
      </c>
      <c r="H2" s="3" t="s">
        <v>81</v>
      </c>
      <c r="I2" t="s">
        <v>39</v>
      </c>
      <c r="J2" s="12" t="s">
        <v>76</v>
      </c>
      <c r="K2" t="s">
        <v>82</v>
      </c>
      <c r="L2" t="s">
        <v>83</v>
      </c>
      <c r="M2" s="2">
        <v>0</v>
      </c>
      <c r="N2" s="2">
        <v>11325</v>
      </c>
      <c r="O2" s="2">
        <f>C2+M2-N2</f>
        <v>52062.559999999998</v>
      </c>
      <c r="P2" t="s">
        <v>23</v>
      </c>
    </row>
    <row r="3" spans="1:16" x14ac:dyDescent="0.35">
      <c r="A3" t="s">
        <v>15</v>
      </c>
      <c r="B3" t="s">
        <v>60</v>
      </c>
      <c r="C3">
        <v>63387.56</v>
      </c>
      <c r="D3" s="1">
        <v>45945</v>
      </c>
      <c r="E3" s="1">
        <v>45945</v>
      </c>
      <c r="F3" t="s">
        <v>84</v>
      </c>
      <c r="H3" s="3" t="s">
        <v>18</v>
      </c>
      <c r="I3" t="s">
        <v>85</v>
      </c>
      <c r="J3" s="13" t="s">
        <v>86</v>
      </c>
      <c r="K3" t="s">
        <v>87</v>
      </c>
      <c r="L3" t="s">
        <v>88</v>
      </c>
      <c r="M3" s="2">
        <v>0</v>
      </c>
      <c r="N3" s="2">
        <v>1143.73</v>
      </c>
      <c r="O3" s="2">
        <f>O2+M3-N3</f>
        <v>50918.829999999994</v>
      </c>
      <c r="P3" t="s">
        <v>23</v>
      </c>
    </row>
    <row r="4" spans="1:16" x14ac:dyDescent="0.35">
      <c r="A4" t="s">
        <v>15</v>
      </c>
      <c r="B4" t="s">
        <v>60</v>
      </c>
      <c r="C4" s="4">
        <v>63387.56</v>
      </c>
      <c r="D4" s="1">
        <v>45951</v>
      </c>
      <c r="E4" s="1">
        <v>45951</v>
      </c>
      <c r="F4" t="s">
        <v>89</v>
      </c>
      <c r="H4" t="s">
        <v>90</v>
      </c>
      <c r="I4" t="s">
        <v>91</v>
      </c>
      <c r="J4" s="12" t="s">
        <v>63</v>
      </c>
      <c r="K4" t="s">
        <v>92</v>
      </c>
      <c r="L4" t="s">
        <v>64</v>
      </c>
      <c r="M4" s="2">
        <v>25.74</v>
      </c>
      <c r="N4" s="2">
        <v>0</v>
      </c>
      <c r="O4" s="2">
        <f t="shared" ref="O4:O7" si="0">O3+M4-N4</f>
        <v>50944.569999999992</v>
      </c>
      <c r="P4" t="s">
        <v>23</v>
      </c>
    </row>
    <row r="5" spans="1:16" x14ac:dyDescent="0.35">
      <c r="A5" t="s">
        <v>15</v>
      </c>
      <c r="B5" t="s">
        <v>60</v>
      </c>
      <c r="C5" s="4">
        <v>63387.56</v>
      </c>
      <c r="D5" s="1">
        <v>45951</v>
      </c>
      <c r="E5" s="1">
        <v>45951</v>
      </c>
      <c r="F5" t="s">
        <v>24</v>
      </c>
      <c r="H5" t="s">
        <v>25</v>
      </c>
      <c r="I5" t="s">
        <v>26</v>
      </c>
      <c r="J5" s="12" t="s">
        <v>93</v>
      </c>
      <c r="K5" t="s">
        <v>94</v>
      </c>
      <c r="L5" t="s">
        <v>75</v>
      </c>
      <c r="M5" s="2">
        <v>6045.73</v>
      </c>
      <c r="N5" s="2">
        <v>0</v>
      </c>
      <c r="O5" s="2">
        <f t="shared" si="0"/>
        <v>56990.299999999988</v>
      </c>
      <c r="P5" t="s">
        <v>23</v>
      </c>
    </row>
    <row r="6" spans="1:16" x14ac:dyDescent="0.35">
      <c r="A6" t="s">
        <v>15</v>
      </c>
      <c r="B6" t="s">
        <v>60</v>
      </c>
      <c r="C6" s="4">
        <v>63387.56</v>
      </c>
      <c r="D6" s="1">
        <v>45956</v>
      </c>
      <c r="E6" s="1">
        <v>45956</v>
      </c>
      <c r="F6" t="s">
        <v>95</v>
      </c>
      <c r="H6" t="s">
        <v>18</v>
      </c>
      <c r="I6" t="s">
        <v>96</v>
      </c>
      <c r="J6" s="12" t="s">
        <v>97</v>
      </c>
      <c r="K6" t="s">
        <v>98</v>
      </c>
      <c r="L6" t="s">
        <v>88</v>
      </c>
      <c r="M6" s="2">
        <v>0</v>
      </c>
      <c r="N6" s="2">
        <v>25066.21</v>
      </c>
      <c r="O6" s="2">
        <f t="shared" si="0"/>
        <v>31924.089999999989</v>
      </c>
      <c r="P6" t="s">
        <v>23</v>
      </c>
    </row>
    <row r="7" spans="1:16" s="5" customFormat="1" x14ac:dyDescent="0.35">
      <c r="A7" s="5" t="s">
        <v>15</v>
      </c>
      <c r="B7" s="5" t="s">
        <v>60</v>
      </c>
      <c r="C7" s="5">
        <v>63387.56</v>
      </c>
      <c r="D7" s="6">
        <v>45961</v>
      </c>
      <c r="E7" s="6">
        <v>45961</v>
      </c>
      <c r="H7" s="7" t="s">
        <v>99</v>
      </c>
      <c r="I7" s="5" t="s">
        <v>35</v>
      </c>
      <c r="J7" s="14" t="s">
        <v>74</v>
      </c>
      <c r="K7" s="5" t="s">
        <v>100</v>
      </c>
      <c r="L7" s="5" t="s">
        <v>75</v>
      </c>
      <c r="M7" s="8">
        <v>0</v>
      </c>
      <c r="N7" s="8">
        <v>99.7</v>
      </c>
      <c r="O7" s="10">
        <f t="shared" si="0"/>
        <v>31824.389999999989</v>
      </c>
      <c r="P7" s="5" t="s">
        <v>23</v>
      </c>
    </row>
    <row r="8" spans="1:16" x14ac:dyDescent="0.35">
      <c r="A8" t="s">
        <v>39</v>
      </c>
      <c r="B8" t="s">
        <v>76</v>
      </c>
      <c r="C8">
        <v>697.72</v>
      </c>
      <c r="D8" s="1">
        <v>45936</v>
      </c>
      <c r="E8" s="1">
        <v>45936</v>
      </c>
      <c r="F8" t="s">
        <v>80</v>
      </c>
      <c r="H8" s="3" t="s">
        <v>101</v>
      </c>
      <c r="I8" t="s">
        <v>15</v>
      </c>
      <c r="J8" s="12" t="s">
        <v>60</v>
      </c>
      <c r="K8" t="s">
        <v>82</v>
      </c>
      <c r="L8" t="s">
        <v>83</v>
      </c>
      <c r="M8" s="2">
        <v>11325</v>
      </c>
      <c r="N8" s="2">
        <v>0</v>
      </c>
      <c r="O8" s="2">
        <f>C8+M8-N8</f>
        <v>12022.72</v>
      </c>
      <c r="P8" t="s">
        <v>23</v>
      </c>
    </row>
    <row r="9" spans="1:16" x14ac:dyDescent="0.35">
      <c r="A9" t="s">
        <v>39</v>
      </c>
      <c r="B9" t="s">
        <v>76</v>
      </c>
      <c r="C9">
        <v>697.72</v>
      </c>
      <c r="D9" s="1">
        <v>45936</v>
      </c>
      <c r="E9" s="1">
        <v>45936</v>
      </c>
      <c r="F9" t="s">
        <v>102</v>
      </c>
      <c r="H9" s="3" t="s">
        <v>18</v>
      </c>
      <c r="I9" t="s">
        <v>103</v>
      </c>
      <c r="J9" s="13" t="s">
        <v>104</v>
      </c>
      <c r="K9" t="s">
        <v>105</v>
      </c>
      <c r="L9" t="s">
        <v>88</v>
      </c>
      <c r="M9" s="2">
        <v>0</v>
      </c>
      <c r="N9" s="2">
        <v>354</v>
      </c>
      <c r="O9" s="11">
        <f>O8+M9-N9</f>
        <v>11668.72</v>
      </c>
      <c r="P9" t="s">
        <v>23</v>
      </c>
    </row>
    <row r="10" spans="1:16" x14ac:dyDescent="0.35">
      <c r="A10" t="s">
        <v>39</v>
      </c>
      <c r="B10" t="s">
        <v>76</v>
      </c>
      <c r="C10" s="4">
        <v>697.72</v>
      </c>
      <c r="D10" s="1">
        <v>45936</v>
      </c>
      <c r="E10" s="1">
        <v>45936</v>
      </c>
      <c r="F10" t="s">
        <v>106</v>
      </c>
      <c r="H10" t="s">
        <v>18</v>
      </c>
      <c r="I10" t="s">
        <v>107</v>
      </c>
      <c r="J10" s="12" t="s">
        <v>108</v>
      </c>
      <c r="K10" t="s">
        <v>109</v>
      </c>
      <c r="L10" t="s">
        <v>88</v>
      </c>
      <c r="M10" s="2">
        <v>0</v>
      </c>
      <c r="N10" s="2">
        <v>11325</v>
      </c>
      <c r="O10" s="11">
        <f t="shared" ref="O10:O12" si="1">O9+M10-N10</f>
        <v>343.71999999999935</v>
      </c>
      <c r="P10" t="s">
        <v>23</v>
      </c>
    </row>
    <row r="11" spans="1:16" x14ac:dyDescent="0.35">
      <c r="A11" t="s">
        <v>39</v>
      </c>
      <c r="B11" t="s">
        <v>76</v>
      </c>
      <c r="C11" s="4">
        <v>697.72</v>
      </c>
      <c r="D11" s="1">
        <v>45958</v>
      </c>
      <c r="E11" s="1">
        <v>45958</v>
      </c>
      <c r="H11" t="s">
        <v>110</v>
      </c>
      <c r="I11" t="s">
        <v>41</v>
      </c>
      <c r="J11" s="12" t="s">
        <v>77</v>
      </c>
      <c r="K11" t="s">
        <v>111</v>
      </c>
      <c r="L11" t="s">
        <v>75</v>
      </c>
      <c r="M11" s="2">
        <v>60000</v>
      </c>
      <c r="N11" s="2">
        <v>0</v>
      </c>
      <c r="O11" s="11">
        <f t="shared" si="1"/>
        <v>60343.72</v>
      </c>
      <c r="P11" t="s">
        <v>23</v>
      </c>
    </row>
    <row r="12" spans="1:16" s="5" customFormat="1" x14ac:dyDescent="0.35">
      <c r="A12" s="5" t="s">
        <v>39</v>
      </c>
      <c r="B12" s="5" t="s">
        <v>76</v>
      </c>
      <c r="C12" s="9">
        <v>697.72</v>
      </c>
      <c r="D12" s="6">
        <v>45958</v>
      </c>
      <c r="E12" s="6">
        <v>45958</v>
      </c>
      <c r="H12" s="5" t="s">
        <v>112</v>
      </c>
      <c r="I12" s="5" t="s">
        <v>35</v>
      </c>
      <c r="J12" s="14" t="s">
        <v>74</v>
      </c>
      <c r="K12" s="5" t="s">
        <v>113</v>
      </c>
      <c r="L12" s="5" t="s">
        <v>75</v>
      </c>
      <c r="M12" s="8">
        <v>0</v>
      </c>
      <c r="N12" s="8">
        <v>27.5</v>
      </c>
      <c r="O12" s="10">
        <f t="shared" si="1"/>
        <v>60316.22</v>
      </c>
      <c r="P12" s="5" t="s">
        <v>23</v>
      </c>
    </row>
    <row r="13" spans="1:16" s="15" customFormat="1" x14ac:dyDescent="0.35">
      <c r="A13" s="15" t="s">
        <v>41</v>
      </c>
      <c r="B13" s="15" t="s">
        <v>77</v>
      </c>
      <c r="C13" s="16">
        <v>65125.34</v>
      </c>
      <c r="D13" s="17">
        <v>45958</v>
      </c>
      <c r="E13" s="17">
        <v>45958</v>
      </c>
      <c r="H13" s="15" t="s">
        <v>110</v>
      </c>
      <c r="I13" s="15" t="s">
        <v>39</v>
      </c>
      <c r="J13" s="18" t="s">
        <v>76</v>
      </c>
      <c r="K13" s="15" t="s">
        <v>111</v>
      </c>
      <c r="L13" s="15" t="s">
        <v>75</v>
      </c>
      <c r="M13" s="19">
        <v>0</v>
      </c>
      <c r="N13" s="19">
        <v>60000</v>
      </c>
      <c r="O13" s="20">
        <f>C13-N13+M13</f>
        <v>5125.3399999999965</v>
      </c>
      <c r="P13" s="15" t="s">
        <v>23</v>
      </c>
    </row>
    <row r="14" spans="1:16" x14ac:dyDescent="0.35">
      <c r="M14" s="2"/>
      <c r="N14" s="2"/>
      <c r="O14" s="2"/>
    </row>
    <row r="15" spans="1:16" x14ac:dyDescent="0.35">
      <c r="C15" s="4"/>
      <c r="D15" s="1"/>
      <c r="E15" s="1"/>
      <c r="M15" s="2"/>
      <c r="N15" s="21" t="s">
        <v>114</v>
      </c>
      <c r="O15" s="22">
        <f>SUM(O7,O12,O13)</f>
        <v>97265.949999999983</v>
      </c>
      <c r="P15" t="s">
        <v>23</v>
      </c>
    </row>
    <row r="16" spans="1:16" x14ac:dyDescent="0.35">
      <c r="C16" s="4"/>
      <c r="D16" s="1"/>
      <c r="E16" s="1"/>
      <c r="M16" s="2"/>
      <c r="N16" s="2"/>
      <c r="O16" s="2"/>
    </row>
    <row r="17" spans="3:14" x14ac:dyDescent="0.35">
      <c r="C17" s="4"/>
      <c r="D17" s="1"/>
      <c r="E17" s="1"/>
      <c r="M17" s="2"/>
      <c r="N17" s="2"/>
    </row>
    <row r="18" spans="3:14" x14ac:dyDescent="0.35">
      <c r="C18" s="4"/>
      <c r="D18" s="1"/>
      <c r="E18" s="1"/>
      <c r="M18" s="2"/>
      <c r="N18" s="2"/>
    </row>
    <row r="19" spans="3:14" x14ac:dyDescent="0.35">
      <c r="C19" s="4"/>
      <c r="D19" s="1"/>
      <c r="E19" s="1"/>
      <c r="M19" s="2"/>
      <c r="N19" s="2"/>
    </row>
    <row r="20" spans="3:14" x14ac:dyDescent="0.35">
      <c r="C20" s="4"/>
      <c r="D20" s="1"/>
      <c r="E20" s="1"/>
      <c r="M20" s="2"/>
      <c r="N20" s="2"/>
    </row>
    <row r="21" spans="3:14" x14ac:dyDescent="0.35">
      <c r="C21" s="4"/>
      <c r="D21" s="1"/>
      <c r="E21" s="1"/>
      <c r="M21" s="2"/>
      <c r="N21" s="2"/>
    </row>
    <row r="22" spans="3:14" x14ac:dyDescent="0.35">
      <c r="C22" s="4"/>
      <c r="D22" s="1"/>
      <c r="E22" s="1"/>
      <c r="M22" s="2"/>
      <c r="N22" s="2"/>
    </row>
    <row r="23" spans="3:14" x14ac:dyDescent="0.35">
      <c r="C23" s="4"/>
      <c r="D23" s="1"/>
      <c r="E23" s="1"/>
      <c r="M23" s="2"/>
      <c r="N23" s="2"/>
    </row>
    <row r="24" spans="3:14" x14ac:dyDescent="0.35">
      <c r="C24" s="4"/>
      <c r="D24" s="1"/>
      <c r="E24" s="1"/>
      <c r="M24" s="2"/>
      <c r="N24" s="2"/>
    </row>
    <row r="25" spans="3:14" x14ac:dyDescent="0.35">
      <c r="C25" s="4"/>
      <c r="D25" s="1"/>
      <c r="E25" s="1"/>
      <c r="M25" s="2"/>
      <c r="N25" s="2"/>
    </row>
    <row r="26" spans="3:14" x14ac:dyDescent="0.35">
      <c r="M26" s="2"/>
      <c r="N26" s="2"/>
    </row>
    <row r="27" spans="3:14" x14ac:dyDescent="0.35">
      <c r="M27" s="2"/>
      <c r="N27" s="2"/>
    </row>
    <row r="28" spans="3:14" x14ac:dyDescent="0.35">
      <c r="M28" s="2"/>
      <c r="N2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32D08-C5B6-44AF-AAF0-FA865092C1DE}">
  <dimension ref="A1:Q8"/>
  <sheetViews>
    <sheetView workbookViewId="0">
      <selection activeCell="Q4" sqref="Q4"/>
    </sheetView>
  </sheetViews>
  <sheetFormatPr defaultRowHeight="14.5" x14ac:dyDescent="0.35"/>
  <cols>
    <col min="2" max="2" width="27.453125" bestFit="1" customWidth="1"/>
    <col min="14" max="14" width="9.54296875" bestFit="1" customWidth="1"/>
  </cols>
  <sheetData>
    <row r="1" spans="1:17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P1" s="3" t="s">
        <v>14</v>
      </c>
    </row>
    <row r="2" spans="1:17" x14ac:dyDescent="0.35">
      <c r="A2">
        <v>1110101</v>
      </c>
      <c r="B2" s="3" t="s">
        <v>16</v>
      </c>
      <c r="C2">
        <v>31824.39</v>
      </c>
      <c r="M2" s="23">
        <v>0</v>
      </c>
      <c r="N2" s="23">
        <v>0</v>
      </c>
      <c r="P2" t="s">
        <v>23</v>
      </c>
    </row>
    <row r="3" spans="1:17" x14ac:dyDescent="0.35">
      <c r="A3">
        <v>1110102</v>
      </c>
      <c r="B3" s="3" t="s">
        <v>40</v>
      </c>
      <c r="C3">
        <v>60316.22</v>
      </c>
      <c r="D3" t="s">
        <v>115</v>
      </c>
      <c r="E3" t="s">
        <v>115</v>
      </c>
      <c r="F3" t="s">
        <v>116</v>
      </c>
      <c r="H3" s="3" t="s">
        <v>18</v>
      </c>
      <c r="I3">
        <v>2111116</v>
      </c>
      <c r="J3" t="s">
        <v>117</v>
      </c>
      <c r="K3">
        <v>25000166</v>
      </c>
      <c r="L3" s="3" t="s">
        <v>22</v>
      </c>
      <c r="M3" s="23">
        <v>0</v>
      </c>
      <c r="N3" s="23">
        <v>2890.48</v>
      </c>
      <c r="P3" t="s">
        <v>23</v>
      </c>
      <c r="Q3" t="s">
        <v>118</v>
      </c>
    </row>
    <row r="4" spans="1:17" x14ac:dyDescent="0.35">
      <c r="A4">
        <v>1110104</v>
      </c>
      <c r="B4" s="3" t="s">
        <v>42</v>
      </c>
      <c r="C4">
        <v>5125.34</v>
      </c>
      <c r="M4" s="23">
        <v>0</v>
      </c>
      <c r="N4" s="23">
        <v>0</v>
      </c>
      <c r="P4" t="s">
        <v>23</v>
      </c>
    </row>
    <row r="5" spans="1:17" x14ac:dyDescent="0.35">
      <c r="M5" s="23"/>
      <c r="N5" s="23"/>
    </row>
    <row r="6" spans="1:17" x14ac:dyDescent="0.35">
      <c r="M6" s="23"/>
      <c r="N6" s="23"/>
    </row>
    <row r="7" spans="1:17" x14ac:dyDescent="0.35">
      <c r="M7" s="23"/>
      <c r="N7" s="23"/>
    </row>
    <row r="8" spans="1:17" x14ac:dyDescent="0.35">
      <c r="M8" s="23"/>
      <c r="N8" s="23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E340D-37B8-439D-988B-2C694DEBF275}">
  <dimension ref="A1:Q13"/>
  <sheetViews>
    <sheetView tabSelected="1" workbookViewId="0">
      <selection activeCell="M8" sqref="M8"/>
    </sheetView>
  </sheetViews>
  <sheetFormatPr defaultRowHeight="14.5" x14ac:dyDescent="0.35"/>
  <cols>
    <col min="1" max="1" width="7.81640625" bestFit="1" customWidth="1"/>
    <col min="2" max="2" width="24.1796875" bestFit="1" customWidth="1"/>
    <col min="3" max="4" width="10.7265625" bestFit="1" customWidth="1"/>
    <col min="5" max="5" width="10.08984375" bestFit="1" customWidth="1"/>
    <col min="6" max="6" width="9.81640625" bestFit="1" customWidth="1"/>
    <col min="7" max="7" width="9.08984375" bestFit="1" customWidth="1"/>
    <col min="8" max="8" width="19.54296875" bestFit="1" customWidth="1"/>
    <col min="9" max="9" width="9.1796875" bestFit="1" customWidth="1"/>
    <col min="10" max="10" width="26" bestFit="1" customWidth="1"/>
    <col min="11" max="11" width="13.6328125" bestFit="1" customWidth="1"/>
    <col min="13" max="15" width="10.1796875" bestFit="1" customWidth="1"/>
    <col min="16" max="16" width="4.36328125" bestFit="1" customWidth="1"/>
    <col min="17" max="17" width="25.1796875" bestFit="1" customWidth="1"/>
  </cols>
  <sheetData>
    <row r="1" spans="1:17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P1" s="3" t="s">
        <v>14</v>
      </c>
    </row>
    <row r="2" spans="1:17" x14ac:dyDescent="0.35">
      <c r="A2">
        <v>1110101</v>
      </c>
      <c r="B2" s="3" t="s">
        <v>16</v>
      </c>
      <c r="C2">
        <v>31824.39</v>
      </c>
      <c r="D2" s="1">
        <v>45669</v>
      </c>
      <c r="E2" s="1">
        <v>45669</v>
      </c>
      <c r="H2" s="3" t="s">
        <v>119</v>
      </c>
      <c r="I2">
        <v>1110102</v>
      </c>
      <c r="J2" s="3" t="s">
        <v>40</v>
      </c>
      <c r="K2">
        <v>25000167</v>
      </c>
      <c r="L2" s="3" t="s">
        <v>120</v>
      </c>
      <c r="M2" s="23">
        <v>50000</v>
      </c>
      <c r="N2" s="23">
        <v>0</v>
      </c>
      <c r="O2" s="24">
        <f>C2+M2-N2</f>
        <v>81824.39</v>
      </c>
      <c r="P2" t="s">
        <v>23</v>
      </c>
      <c r="Q2" t="s">
        <v>81</v>
      </c>
    </row>
    <row r="3" spans="1:17" x14ac:dyDescent="0.35">
      <c r="A3">
        <v>1110101</v>
      </c>
      <c r="B3" s="3" t="s">
        <v>16</v>
      </c>
      <c r="C3">
        <v>31824.39</v>
      </c>
      <c r="D3" s="1">
        <v>45669</v>
      </c>
      <c r="E3" s="1">
        <v>45669</v>
      </c>
      <c r="F3">
        <v>430154251</v>
      </c>
      <c r="H3" s="3" t="s">
        <v>121</v>
      </c>
      <c r="I3">
        <v>2151101</v>
      </c>
      <c r="J3" s="3" t="s">
        <v>122</v>
      </c>
      <c r="K3">
        <v>25000168</v>
      </c>
      <c r="L3" s="3" t="s">
        <v>29</v>
      </c>
      <c r="M3" s="23">
        <v>0</v>
      </c>
      <c r="N3" s="23">
        <v>6086.09</v>
      </c>
      <c r="O3" s="24">
        <f>O2+M3-N3</f>
        <v>75738.3</v>
      </c>
      <c r="P3" t="s">
        <v>23</v>
      </c>
      <c r="Q3" t="s">
        <v>123</v>
      </c>
    </row>
    <row r="4" spans="1:17" x14ac:dyDescent="0.35">
      <c r="A4">
        <v>1110101</v>
      </c>
      <c r="B4" s="3" t="s">
        <v>16</v>
      </c>
      <c r="C4">
        <v>31824.39</v>
      </c>
      <c r="D4" s="1">
        <v>45669</v>
      </c>
      <c r="E4" s="1">
        <v>45669</v>
      </c>
      <c r="F4">
        <v>430153976</v>
      </c>
      <c r="H4" s="3" t="s">
        <v>124</v>
      </c>
      <c r="I4">
        <v>2151101</v>
      </c>
      <c r="J4" s="3" t="s">
        <v>122</v>
      </c>
      <c r="K4">
        <v>25000169</v>
      </c>
      <c r="L4" s="3" t="s">
        <v>29</v>
      </c>
      <c r="M4" s="23">
        <v>0</v>
      </c>
      <c r="N4" s="23">
        <v>5924.63</v>
      </c>
      <c r="O4" s="24">
        <f t="shared" ref="O4:O8" si="0">O3+M4-N4</f>
        <v>69813.67</v>
      </c>
      <c r="P4" t="s">
        <v>23</v>
      </c>
      <c r="Q4" t="s">
        <v>123</v>
      </c>
    </row>
    <row r="5" spans="1:17" x14ac:dyDescent="0.35">
      <c r="A5">
        <v>1110101</v>
      </c>
      <c r="B5" s="3" t="s">
        <v>16</v>
      </c>
      <c r="C5">
        <v>31824.39</v>
      </c>
      <c r="D5" s="1">
        <v>45669</v>
      </c>
      <c r="E5" s="1">
        <v>45669</v>
      </c>
      <c r="F5">
        <v>430153976</v>
      </c>
      <c r="H5" s="3" t="s">
        <v>121</v>
      </c>
      <c r="I5">
        <v>2151101</v>
      </c>
      <c r="J5" s="3" t="s">
        <v>122</v>
      </c>
      <c r="K5">
        <v>25000170</v>
      </c>
      <c r="L5" s="3" t="s">
        <v>29</v>
      </c>
      <c r="M5" s="23">
        <v>0</v>
      </c>
      <c r="N5" s="23">
        <v>5572.61</v>
      </c>
      <c r="O5" s="24">
        <f t="shared" si="0"/>
        <v>64241.06</v>
      </c>
      <c r="P5" t="s">
        <v>23</v>
      </c>
      <c r="Q5" t="s">
        <v>123</v>
      </c>
    </row>
    <row r="6" spans="1:17" x14ac:dyDescent="0.35">
      <c r="A6">
        <v>1110101</v>
      </c>
      <c r="B6" s="3" t="s">
        <v>16</v>
      </c>
      <c r="C6">
        <v>31824.39</v>
      </c>
      <c r="D6" s="1">
        <v>45669</v>
      </c>
      <c r="E6" s="1">
        <v>45669</v>
      </c>
      <c r="F6">
        <v>430153976</v>
      </c>
      <c r="H6" s="3" t="s">
        <v>121</v>
      </c>
      <c r="I6">
        <v>2151101</v>
      </c>
      <c r="J6" s="3" t="s">
        <v>122</v>
      </c>
      <c r="K6">
        <v>25000171</v>
      </c>
      <c r="L6" s="3" t="s">
        <v>29</v>
      </c>
      <c r="M6" s="23">
        <v>0</v>
      </c>
      <c r="N6" s="23">
        <v>5889.09</v>
      </c>
      <c r="O6" s="24">
        <f t="shared" si="0"/>
        <v>58351.97</v>
      </c>
      <c r="P6" t="s">
        <v>23</v>
      </c>
      <c r="Q6" t="s">
        <v>123</v>
      </c>
    </row>
    <row r="7" spans="1:17" x14ac:dyDescent="0.35">
      <c r="A7">
        <v>1110101</v>
      </c>
      <c r="B7" s="3" t="s">
        <v>16</v>
      </c>
      <c r="C7">
        <v>31824.39</v>
      </c>
      <c r="D7" s="1">
        <v>45669</v>
      </c>
      <c r="E7" s="1">
        <v>45669</v>
      </c>
      <c r="F7">
        <v>430153332</v>
      </c>
      <c r="H7" s="3" t="s">
        <v>125</v>
      </c>
      <c r="I7">
        <v>2151101</v>
      </c>
      <c r="J7" s="3" t="s">
        <v>122</v>
      </c>
      <c r="K7">
        <v>25000172</v>
      </c>
      <c r="L7" s="3" t="s">
        <v>29</v>
      </c>
      <c r="M7" s="23">
        <v>0</v>
      </c>
      <c r="N7" s="23">
        <v>4187.5</v>
      </c>
      <c r="O7" s="24">
        <f t="shared" si="0"/>
        <v>54164.47</v>
      </c>
      <c r="P7" t="s">
        <v>23</v>
      </c>
      <c r="Q7" t="s">
        <v>123</v>
      </c>
    </row>
    <row r="8" spans="1:17" x14ac:dyDescent="0.35">
      <c r="A8" s="5" t="s">
        <v>15</v>
      </c>
      <c r="B8" s="5" t="s">
        <v>16</v>
      </c>
      <c r="C8" s="9">
        <v>31795.47</v>
      </c>
      <c r="D8" s="6">
        <v>46001</v>
      </c>
      <c r="E8" s="6">
        <v>46001</v>
      </c>
      <c r="F8" s="5"/>
      <c r="G8" s="5"/>
      <c r="H8" s="5" t="s">
        <v>25</v>
      </c>
      <c r="I8" s="5" t="s">
        <v>26</v>
      </c>
      <c r="J8" s="5" t="s">
        <v>27</v>
      </c>
      <c r="K8" s="5" t="s">
        <v>126</v>
      </c>
      <c r="L8" s="5" t="s">
        <v>29</v>
      </c>
      <c r="M8" s="9">
        <v>6865.55</v>
      </c>
      <c r="N8" s="9">
        <v>0</v>
      </c>
      <c r="O8" s="27">
        <f t="shared" si="0"/>
        <v>61030.020000000004</v>
      </c>
      <c r="P8" s="5" t="s">
        <v>23</v>
      </c>
      <c r="Q8" s="26" t="s">
        <v>127</v>
      </c>
    </row>
    <row r="9" spans="1:17" x14ac:dyDescent="0.35">
      <c r="A9" s="5">
        <v>1110102</v>
      </c>
      <c r="B9" s="7" t="s">
        <v>40</v>
      </c>
      <c r="C9" s="5">
        <v>57425.74</v>
      </c>
      <c r="D9" s="6">
        <v>45669</v>
      </c>
      <c r="E9" s="6">
        <v>45669</v>
      </c>
      <c r="F9" s="5"/>
      <c r="G9" s="5"/>
      <c r="H9" s="7" t="s">
        <v>119</v>
      </c>
      <c r="I9" s="5">
        <v>1110101</v>
      </c>
      <c r="J9" s="7" t="s">
        <v>16</v>
      </c>
      <c r="K9" s="5">
        <v>25000167</v>
      </c>
      <c r="L9" s="7" t="s">
        <v>120</v>
      </c>
      <c r="M9" s="25">
        <v>0</v>
      </c>
      <c r="N9" s="25">
        <v>50000</v>
      </c>
      <c r="O9" s="27">
        <f>C9+M9-N9</f>
        <v>7425.739999999998</v>
      </c>
      <c r="P9" s="5" t="s">
        <v>23</v>
      </c>
      <c r="Q9" s="5" t="s">
        <v>81</v>
      </c>
    </row>
    <row r="10" spans="1:17" x14ac:dyDescent="0.35">
      <c r="A10" s="5">
        <v>1110104</v>
      </c>
      <c r="B10" s="7" t="s">
        <v>42</v>
      </c>
      <c r="C10" s="5">
        <v>5125.34</v>
      </c>
      <c r="D10" s="5"/>
      <c r="E10" s="5"/>
      <c r="F10" s="5"/>
      <c r="G10" s="5"/>
      <c r="H10" s="5"/>
      <c r="I10" s="5"/>
      <c r="J10" s="5"/>
      <c r="K10" s="5"/>
      <c r="L10" s="5"/>
      <c r="M10" s="25">
        <v>0</v>
      </c>
      <c r="N10" s="25">
        <v>0</v>
      </c>
      <c r="O10" s="27">
        <f>C10</f>
        <v>5125.34</v>
      </c>
      <c r="P10" s="5" t="s">
        <v>23</v>
      </c>
      <c r="Q10" s="5"/>
    </row>
    <row r="11" spans="1:17" x14ac:dyDescent="0.35">
      <c r="M11" s="23"/>
      <c r="N11" s="23"/>
    </row>
    <row r="12" spans="1:17" x14ac:dyDescent="0.35">
      <c r="M12" s="23"/>
      <c r="N12" s="23"/>
      <c r="O12" s="28">
        <f>SUM(O8:O10)</f>
        <v>73581.100000000006</v>
      </c>
    </row>
    <row r="13" spans="1:17" x14ac:dyDescent="0.35">
      <c r="M13" s="23"/>
      <c r="N13" s="2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mount xmlns="bf6e26dd-18a8-4616-a791-cb157ef1bf56" xsi:nil="true"/>
    <lcf76f155ced4ddcb4097134ff3c332f xmlns="d4108fd0-bac5-48aa-9f20-39453d102dac">
      <Terms xmlns="http://schemas.microsoft.com/office/infopath/2007/PartnerControls"/>
    </lcf76f155ced4ddcb4097134ff3c332f>
    <Paid xmlns="bf6e26dd-18a8-4616-a791-cb157ef1bf56">true</Paid>
    <Currency xmlns="bf6e26dd-18a8-4616-a791-cb157ef1bf56" xsi:nil="true"/>
    <_x0069_ar6 xmlns="bf6e26dd-18a8-4616-a791-cb157ef1bf56" xsi:nil="true"/>
    <Paper_x0020_Invoice xmlns="bf6e26dd-18a8-4616-a791-cb157ef1bf56">true</Paper_x0020_Invoice>
    <printed xmlns="bf6e26dd-18a8-4616-a791-cb157ef1bf56">true</printed>
    <Invoice_x0020_date xmlns="bf6e26dd-18a8-4616-a791-cb157ef1bf56" xsi:nil="true"/>
    <Payment_x0020_Date xmlns="bf6e26dd-18a8-4616-a791-cb157ef1bf56" xsi:nil="true"/>
    <_x05e9__x05d5__x05dc__x05dd_ xmlns="bf6e26dd-18a8-4616-a791-cb157ef1bf56">true</_x05e9__x05d5__x05dc__x05dd_>
    <TaxCatchAll xmlns="2af0a221-e6e5-4f13-a0b5-c8b7582ab823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ED5E569D553A40AE8A0585BABBF674" ma:contentTypeVersion="28" ma:contentTypeDescription="Create a new document." ma:contentTypeScope="" ma:versionID="0f0386f5fb46f34a7047c9267d79960a">
  <xsd:schema xmlns:xsd="http://www.w3.org/2001/XMLSchema" xmlns:xs="http://www.w3.org/2001/XMLSchema" xmlns:p="http://schemas.microsoft.com/office/2006/metadata/properties" xmlns:ns2="bf6e26dd-18a8-4616-a791-cb157ef1bf56" xmlns:ns3="2af0a221-e6e5-4f13-a0b5-c8b7582ab823" xmlns:ns4="d4108fd0-bac5-48aa-9f20-39453d102dac" targetNamespace="http://schemas.microsoft.com/office/2006/metadata/properties" ma:root="true" ma:fieldsID="81ec9e367a933ed0cbc2e855037c1f4c" ns2:_="" ns3:_="" ns4:_="">
    <xsd:import namespace="bf6e26dd-18a8-4616-a791-cb157ef1bf56"/>
    <xsd:import namespace="2af0a221-e6e5-4f13-a0b5-c8b7582ab823"/>
    <xsd:import namespace="d4108fd0-bac5-48aa-9f20-39453d102dac"/>
    <xsd:element name="properties">
      <xsd:complexType>
        <xsd:sequence>
          <xsd:element name="documentManagement">
            <xsd:complexType>
              <xsd:all>
                <xsd:element ref="ns2:Invoice_x0020_date" minOccurs="0"/>
                <xsd:element ref="ns2:Currency" minOccurs="0"/>
                <xsd:element ref="ns2:Amount" minOccurs="0"/>
                <xsd:element ref="ns2:Payment_x0020_Date" minOccurs="0"/>
                <xsd:element ref="ns2:Paid" minOccurs="0"/>
                <xsd:element ref="ns2:Paper_x0020_Invoice" minOccurs="0"/>
                <xsd:element ref="ns2:printed" minOccurs="0"/>
                <xsd:element ref="ns2:_x0069_ar6" minOccurs="0"/>
                <xsd:element ref="ns2:_x05e9__x05d5__x05dc__x05dd_" minOccurs="0"/>
                <xsd:element ref="ns3:SharedWithUsers" minOccurs="0"/>
                <xsd:element ref="ns3:SharedWithDetails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Location" minOccurs="0"/>
                <xsd:element ref="ns4:MediaServiceAutoKeyPoints" minOccurs="0"/>
                <xsd:element ref="ns4:MediaServiceKeyPoints" minOccurs="0"/>
                <xsd:element ref="ns4:lcf76f155ced4ddcb4097134ff3c332f" minOccurs="0"/>
                <xsd:element ref="ns3:TaxCatchAll" minOccurs="0"/>
                <xsd:element ref="ns4:MediaLengthInSeconds" minOccurs="0"/>
                <xsd:element ref="ns4:MediaServiceObjectDetectorVersion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6e26dd-18a8-4616-a791-cb157ef1bf56" elementFormDefault="qualified">
    <xsd:import namespace="http://schemas.microsoft.com/office/2006/documentManagement/types"/>
    <xsd:import namespace="http://schemas.microsoft.com/office/infopath/2007/PartnerControls"/>
    <xsd:element name="Invoice_x0020_date" ma:index="8" nillable="true" ma:displayName="Invoice date" ma:format="DateOnly" ma:internalName="Invoice_x0020_date">
      <xsd:simpleType>
        <xsd:restriction base="dms:DateTime"/>
      </xsd:simpleType>
    </xsd:element>
    <xsd:element name="Currency" ma:index="9" nillable="true" ma:displayName="Currency" ma:LCID="1033" ma:internalName="Currency">
      <xsd:simpleType>
        <xsd:restriction base="dms:Currency"/>
      </xsd:simpleType>
    </xsd:element>
    <xsd:element name="Amount" ma:index="10" nillable="true" ma:displayName="Amount" ma:internalName="Amount">
      <xsd:simpleType>
        <xsd:restriction base="dms:Number"/>
      </xsd:simpleType>
    </xsd:element>
    <xsd:element name="Payment_x0020_Date" ma:index="11" nillable="true" ma:displayName="Payment Date" ma:format="DateOnly" ma:internalName="Payment_x0020_Date">
      <xsd:simpleType>
        <xsd:restriction base="dms:DateTime"/>
      </xsd:simpleType>
    </xsd:element>
    <xsd:element name="Paid" ma:index="12" nillable="true" ma:displayName="Paid" ma:default="1" ma:internalName="Paid">
      <xsd:simpleType>
        <xsd:restriction base="dms:Boolean"/>
      </xsd:simpleType>
    </xsd:element>
    <xsd:element name="Paper_x0020_Invoice" ma:index="13" nillable="true" ma:displayName="Paper Invoice" ma:default="1" ma:internalName="Paper_x0020_Invoice">
      <xsd:simpleType>
        <xsd:restriction base="dms:Boolean"/>
      </xsd:simpleType>
    </xsd:element>
    <xsd:element name="printed" ma:index="14" nillable="true" ma:displayName="printed" ma:default="1" ma:internalName="printed">
      <xsd:simpleType>
        <xsd:restriction base="dms:Boolean"/>
      </xsd:simpleType>
    </xsd:element>
    <xsd:element name="_x0069_ar6" ma:index="15" nillable="true" ma:displayName="comments" ma:internalName="comments">
      <xsd:simpleType>
        <xsd:restriction base="dms:Text"/>
      </xsd:simpleType>
    </xsd:element>
    <xsd:element name="_x05e9__x05d5__x05dc__x05dd_" ma:index="16" nillable="true" ma:displayName="שולם" ma:default="1" ma:internalName="_x05e9__x05d5__x05dc__x05dd_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af0a221-e6e5-4f13-a0b5-c8b7582ab823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31" nillable="true" ma:displayName="Taxonomy Catch All Column" ma:hidden="true" ma:list="{69fd50b9-1309-43d4-8f81-e2e219870528}" ma:internalName="TaxCatchAll" ma:showField="CatchAllData" ma:web="2af0a221-e6e5-4f13-a0b5-c8b7582ab82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108fd0-bac5-48aa-9f20-39453d102d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21" nillable="true" ma:displayName="Tags" ma:internalName="MediaServiceAutoTags" ma:readOnly="true">
      <xsd:simpleType>
        <xsd:restriction base="dms:Text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26" nillable="true" ma:displayName="Location" ma:internalName="MediaServiceLocation" ma:readOnly="true">
      <xsd:simpleType>
        <xsd:restriction base="dms:Text"/>
      </xsd:simpleType>
    </xsd:element>
    <xsd:element name="MediaServiceAutoKeyPoints" ma:index="2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30" nillable="true" ma:taxonomy="true" ma:internalName="lcf76f155ced4ddcb4097134ff3c332f" ma:taxonomyFieldName="MediaServiceImageTags" ma:displayName="Image Tags" ma:readOnly="false" ma:fieldId="{5cf76f15-5ced-4ddc-b409-7134ff3c332f}" ma:taxonomyMulti="true" ma:sspId="ed4fa224-d827-46e9-8e8b-c04fa556ee0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3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3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AD8F628-5196-49D5-BC8A-59436FEF8390}">
  <ds:schemaRefs>
    <ds:schemaRef ds:uri="http://schemas.microsoft.com/office/2006/metadata/properties"/>
    <ds:schemaRef ds:uri="http://schemas.microsoft.com/office/infopath/2007/PartnerControls"/>
    <ds:schemaRef ds:uri="bf6e26dd-18a8-4616-a791-cb157ef1bf56"/>
    <ds:schemaRef ds:uri="d4108fd0-bac5-48aa-9f20-39453d102dac"/>
    <ds:schemaRef ds:uri="2af0a221-e6e5-4f13-a0b5-c8b7582ab823"/>
  </ds:schemaRefs>
</ds:datastoreItem>
</file>

<file path=customXml/itemProps2.xml><?xml version="1.0" encoding="utf-8"?>
<ds:datastoreItem xmlns:ds="http://schemas.openxmlformats.org/officeDocument/2006/customXml" ds:itemID="{CA936460-6E0F-4110-B61B-83CABD87CC20}"/>
</file>

<file path=customXml/itemProps3.xml><?xml version="1.0" encoding="utf-8"?>
<ds:datastoreItem xmlns:ds="http://schemas.openxmlformats.org/officeDocument/2006/customXml" ds:itemID="{3A203446-59EA-4CBF-A513-3A29543A1B2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Jul 2025</vt:lpstr>
      <vt:lpstr>Sep 2025</vt:lpstr>
      <vt:lpstr>Oct 2025 </vt:lpstr>
      <vt:lpstr>Nov 2025</vt:lpstr>
      <vt:lpstr>Dec 2025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Lea</dc:creator>
  <cp:keywords/>
  <dc:description/>
  <cp:lastModifiedBy>Lea Azaria</cp:lastModifiedBy>
  <cp:revision/>
  <dcterms:created xsi:type="dcterms:W3CDTF">2025-08-10T07:03:31Z</dcterms:created>
  <dcterms:modified xsi:type="dcterms:W3CDTF">2025-12-22T14:23:07Z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0x01010026ED5E569D553A40AE8A0585BABBF674</vt:lpwstr>
  </property>
  <property fmtid="{D5CDD505-2E9C-101B-9397-08002B2CF9AE}" pid="3" name="MediaServiceImageTags">
    <vt:lpwstr/>
  </property>
</Properties>
</file>