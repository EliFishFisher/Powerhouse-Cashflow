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corneatvi.sharepoint.com/sites/Finance/Shared Documents/Bookkeeping/CF Reports/"/>
    </mc:Choice>
  </mc:AlternateContent>
  <xr:revisionPtr revIDLastSave="0" documentId="8_{DA022290-0048-42C6-9D5A-9E8A594ECFCD}" xr6:coauthVersionLast="47" xr6:coauthVersionMax="47" xr10:uidLastSave="{00000000-0000-0000-0000-000000000000}"/>
  <bookViews>
    <workbookView xWindow="-28920" yWindow="1575" windowWidth="29040" windowHeight="15720" xr2:uid="{00000000-000D-0000-FFFF-FFFF00000000}"/>
  </bookViews>
  <sheets>
    <sheet name="Data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O33" i="1"/>
  <c r="O34" i="1"/>
  <c r="O35" i="1"/>
  <c r="O36" i="1"/>
  <c r="O32" i="1"/>
  <c r="O30" i="1"/>
  <c r="O31" i="1"/>
  <c r="O27" i="1"/>
  <c r="O28" i="1"/>
  <c r="O29" i="1"/>
  <c r="O25" i="1"/>
  <c r="O26" i="1" s="1"/>
  <c r="O5" i="1"/>
  <c r="O6" i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4" i="1"/>
  <c r="O3" i="1"/>
</calcChain>
</file>

<file path=xl/sharedStrings.xml><?xml version="1.0" encoding="utf-8"?>
<sst xmlns="http://schemas.openxmlformats.org/spreadsheetml/2006/main" count="300" uniqueCount="150">
  <si>
    <t>חשבון</t>
  </si>
  <si>
    <t>תאור</t>
  </si>
  <si>
    <t>יתרת פתיחה</t>
  </si>
  <si>
    <t>תאריך למאזן</t>
  </si>
  <si>
    <t>תאריך ערך</t>
  </si>
  <si>
    <t>אסמכתא 1</t>
  </si>
  <si>
    <t>אסמכתא 2</t>
  </si>
  <si>
    <t>פרטים</t>
  </si>
  <si>
    <t>חשבון נגדי</t>
  </si>
  <si>
    <t>תאור חשבון נגדי</t>
  </si>
  <si>
    <t>מס. תנועת היומן</t>
  </si>
  <si>
    <t>סוג תנועה</t>
  </si>
  <si>
    <t>חובה</t>
  </si>
  <si>
    <t>זכות</t>
  </si>
  <si>
    <t>מט.</t>
  </si>
  <si>
    <t>1110101</t>
  </si>
  <si>
    <t>בנק הפועלים 36967</t>
  </si>
  <si>
    <t>7604</t>
  </si>
  <si>
    <t>ישראכרט</t>
  </si>
  <si>
    <t>2123120</t>
  </si>
  <si>
    <t>כ.אשראי 7604 לילך ש"ח</t>
  </si>
  <si>
    <t>25001928</t>
  </si>
  <si>
    <t>הת</t>
  </si>
  <si>
    <t>USD</t>
  </si>
  <si>
    <t>8434</t>
  </si>
  <si>
    <t>2123126</t>
  </si>
  <si>
    <t>כ.אשראי 8434 גלעד ILS</t>
  </si>
  <si>
    <t>25001930</t>
  </si>
  <si>
    <t>6884</t>
  </si>
  <si>
    <t>2123111</t>
  </si>
  <si>
    <t>כ.אשראי 6884 אלמוג ש"ח</t>
  </si>
  <si>
    <t>25001931</t>
  </si>
  <si>
    <t>BTC2500403</t>
  </si>
  <si>
    <t>העברה בנקאית</t>
  </si>
  <si>
    <t>2112805</t>
  </si>
  <si>
    <t>Larit Measurements</t>
  </si>
  <si>
    <t>25001974</t>
  </si>
  <si>
    <t>העב</t>
  </si>
  <si>
    <t>מכס ומעמ</t>
  </si>
  <si>
    <t>1151104</t>
  </si>
  <si>
    <t>חו"ז מע"מ V.A.T To Be Recieved</t>
  </si>
  <si>
    <t>25001973</t>
  </si>
  <si>
    <t>88367305</t>
  </si>
  <si>
    <t>מס"ב סליקה</t>
  </si>
  <si>
    <t>2121103</t>
  </si>
  <si>
    <t>חו"ז ביטוח מנהלים וקרה"ש Management Ins</t>
  </si>
  <si>
    <t>25002061</t>
  </si>
  <si>
    <t>המרה</t>
  </si>
  <si>
    <t>1110102</t>
  </si>
  <si>
    <t>בנק הפועלים $</t>
  </si>
  <si>
    <t>25002062</t>
  </si>
  <si>
    <t>פ</t>
  </si>
  <si>
    <t>BTC2500405</t>
  </si>
  <si>
    <t>2112670</t>
  </si>
  <si>
    <t>סטארט שירותי מיחשוב</t>
  </si>
  <si>
    <t>25002026</t>
  </si>
  <si>
    <t>BTC2500406</t>
  </si>
  <si>
    <t>2111116</t>
  </si>
  <si>
    <t>Pearl Cohen</t>
  </si>
  <si>
    <t>25002027</t>
  </si>
  <si>
    <t>BTC2500407</t>
  </si>
  <si>
    <t>2112731</t>
  </si>
  <si>
    <t>סקלר מעבדות בע"מ</t>
  </si>
  <si>
    <t>25002028</t>
  </si>
  <si>
    <t>BTC2500408</t>
  </si>
  <si>
    <t>2112733</t>
  </si>
  <si>
    <t>שלום חימי שלום חימי ELECTRICAL POWER</t>
  </si>
  <si>
    <t>25002029</t>
  </si>
  <si>
    <t>BTC2500409</t>
  </si>
  <si>
    <t>2112802</t>
  </si>
  <si>
    <t>בלושטיין מהנדסים בע"מ</t>
  </si>
  <si>
    <t>25002030</t>
  </si>
  <si>
    <t>BTC2500410</t>
  </si>
  <si>
    <t>2112591</t>
  </si>
  <si>
    <t>קצת אחרת פתרונות בע"מ</t>
  </si>
  <si>
    <t>25002031</t>
  </si>
  <si>
    <t>BTC2500413</t>
  </si>
  <si>
    <t>הוראת קבע</t>
  </si>
  <si>
    <t>2111104</t>
  </si>
  <si>
    <t>פלאקסי ישראל ב</t>
  </si>
  <si>
    <t>25002063</t>
  </si>
  <si>
    <t>BTC2500414</t>
  </si>
  <si>
    <t>2111177</t>
  </si>
  <si>
    <t>CloudAlly</t>
  </si>
  <si>
    <t>25002064</t>
  </si>
  <si>
    <t>BTC2500415</t>
  </si>
  <si>
    <t>2111111</t>
  </si>
  <si>
    <t>FedEx</t>
  </si>
  <si>
    <t>25002065</t>
  </si>
  <si>
    <t>RCC25000032</t>
  </si>
  <si>
    <t>מימוש אופציות בן ברנשטיי</t>
  </si>
  <si>
    <t>1141100</t>
  </si>
  <si>
    <t>לקוחות שונים</t>
  </si>
  <si>
    <t>25002206</t>
  </si>
  <si>
    <t>ק</t>
  </si>
  <si>
    <t>BTC2500416</t>
  </si>
  <si>
    <t>25002207</t>
  </si>
  <si>
    <t>Transfer from PayPal</t>
  </si>
  <si>
    <t>1110111</t>
  </si>
  <si>
    <t>PayPal USD</t>
  </si>
  <si>
    <t>25002208</t>
  </si>
  <si>
    <t>63107080</t>
  </si>
  <si>
    <t>ב"ל מילואים</t>
  </si>
  <si>
    <t>706950</t>
  </si>
  <si>
    <t>תגמולי מילואים</t>
  </si>
  <si>
    <t>25002203</t>
  </si>
  <si>
    <t>2762995</t>
  </si>
  <si>
    <t>מס הכנסה ניכויים</t>
  </si>
  <si>
    <t>2121101</t>
  </si>
  <si>
    <t>מ"ה ניכויים Payroll Taxes</t>
  </si>
  <si>
    <t>25002204</t>
  </si>
  <si>
    <t>38286555</t>
  </si>
  <si>
    <t>ביטוח לאומי</t>
  </si>
  <si>
    <t>2121100</t>
  </si>
  <si>
    <t>ב"ל ניכויים National Insurance</t>
  </si>
  <si>
    <t>25002205</t>
  </si>
  <si>
    <t>יורוקרד</t>
  </si>
  <si>
    <t>2123112</t>
  </si>
  <si>
    <t>כ.אשראי 6884 אלמוג USD</t>
  </si>
  <si>
    <t>25001924</t>
  </si>
  <si>
    <t>2123127</t>
  </si>
  <si>
    <t>כ.אשראי 8434 גלעד USD</t>
  </si>
  <si>
    <t>25001925</t>
  </si>
  <si>
    <t>BTC2500404</t>
  </si>
  <si>
    <t>2112631</t>
  </si>
  <si>
    <t>Guest Krieger Limited</t>
  </si>
  <si>
    <t>25001975</t>
  </si>
  <si>
    <t>2123121</t>
  </si>
  <si>
    <t>כ.אשראי 7604 לילך USD</t>
  </si>
  <si>
    <t>25001976</t>
  </si>
  <si>
    <t>BTC2500411</t>
  </si>
  <si>
    <t>2112509</t>
  </si>
  <si>
    <t>Arnon, Tadmor, Levy</t>
  </si>
  <si>
    <t>25002032</t>
  </si>
  <si>
    <t>BTC2500412</t>
  </si>
  <si>
    <t>2112800</t>
  </si>
  <si>
    <t>Dakings Rapid Manufacturing Co,.Limited</t>
  </si>
  <si>
    <t>25002033</t>
  </si>
  <si>
    <t>1110103</t>
  </si>
  <si>
    <t>בנק הפועלים EURO</t>
  </si>
  <si>
    <t>2123113</t>
  </si>
  <si>
    <t>כ.אשראי 6884 אלמוג EUR</t>
  </si>
  <si>
    <t>25001926</t>
  </si>
  <si>
    <t>1110105</t>
  </si>
  <si>
    <t>פועלים GBP</t>
  </si>
  <si>
    <t>1110106</t>
  </si>
  <si>
    <t>בנק SVB</t>
  </si>
  <si>
    <t>1110110</t>
  </si>
  <si>
    <t>בנק הפועלים CHF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</si>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</sst>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>
    <font>
      <sz val="11"/>
      <name val="Aptos Narrow"/>
    </font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1" applyFont="1"/>
    <xf numFmtId="164" fontId="0" fillId="0" borderId="0" xfId="0" applyNumberFormat="1"/>
    <xf numFmtId="0" fontId="0" fillId="0" borderId="1" xfId="0" applyBorder="1"/>
    <xf numFmtId="2" fontId="0" fillId="0" borderId="1" xfId="0" applyNumberFormat="1" applyBorder="1"/>
    <xf numFmtId="14" fontId="0" fillId="0" borderId="1" xfId="0" applyNumberFormat="1" applyBorder="1"/>
    <xf numFmtId="164" fontId="0" fillId="0" borderId="1" xfId="1" applyFont="1" applyBorder="1"/>
    <xf numFmtId="164" fontId="0" fillId="0" borderId="1" xfId="0" applyNumberFormat="1" applyBorder="1"/>
    <xf numFmtId="164" fontId="2" fillId="0" borderId="2" xfId="1" applyFont="1" applyBorder="1"/>
    <xf numFmtId="0" fontId="2" fillId="0" borderId="2" xfId="0" applyFont="1" applyBorder="1"/>
    <xf numFmtId="165" fontId="2" fillId="0" borderId="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topLeftCell="A2" workbookViewId="0">
      <selection activeCell="J39" sqref="J39"/>
    </sheetView>
  </sheetViews>
  <sheetFormatPr defaultRowHeight="14.45"/>
  <cols>
    <col min="1" max="1" width="7.85546875" bestFit="1" customWidth="1"/>
    <col min="2" max="2" width="16.42578125" bestFit="1" customWidth="1"/>
    <col min="3" max="4" width="10.7109375" bestFit="1" customWidth="1"/>
    <col min="5" max="5" width="10.140625" bestFit="1" customWidth="1"/>
    <col min="6" max="6" width="12.42578125" bestFit="1" customWidth="1"/>
    <col min="7" max="7" width="9.140625" bestFit="1" customWidth="1"/>
    <col min="8" max="8" width="21.7109375" bestFit="1" customWidth="1"/>
    <col min="9" max="9" width="9.140625" bestFit="1" customWidth="1"/>
    <col min="10" max="10" width="36.5703125" bestFit="1" customWidth="1"/>
    <col min="11" max="11" width="13.5703125" bestFit="1" customWidth="1"/>
    <col min="13" max="14" width="10.140625" style="3" bestFit="1" customWidth="1"/>
    <col min="15" max="15" width="11.140625" bestFit="1" customWidth="1"/>
    <col min="16" max="16" width="4.42578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P1" t="s">
        <v>14</v>
      </c>
    </row>
    <row r="2" spans="1:16">
      <c r="C2" s="2"/>
    </row>
    <row r="3" spans="1:16">
      <c r="A3" t="s">
        <v>15</v>
      </c>
      <c r="B3" t="s">
        <v>16</v>
      </c>
      <c r="C3" s="2">
        <v>21403.32</v>
      </c>
      <c r="D3" s="1">
        <v>45963</v>
      </c>
      <c r="E3" s="1">
        <v>45963</v>
      </c>
      <c r="F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s="3">
        <v>0</v>
      </c>
      <c r="N3" s="3">
        <v>949.21</v>
      </c>
      <c r="O3" s="4">
        <f>C3+M3-N3</f>
        <v>20454.11</v>
      </c>
      <c r="P3" t="s">
        <v>23</v>
      </c>
    </row>
    <row r="4" spans="1:16">
      <c r="A4" t="s">
        <v>15</v>
      </c>
      <c r="B4" t="s">
        <v>16</v>
      </c>
      <c r="C4" s="2">
        <v>21403.32</v>
      </c>
      <c r="D4" s="1">
        <v>45963</v>
      </c>
      <c r="E4" s="1">
        <v>45963</v>
      </c>
      <c r="F4" t="s">
        <v>24</v>
      </c>
      <c r="H4" t="s">
        <v>18</v>
      </c>
      <c r="I4" t="s">
        <v>25</v>
      </c>
      <c r="J4" t="s">
        <v>26</v>
      </c>
      <c r="K4" t="s">
        <v>27</v>
      </c>
      <c r="L4" t="s">
        <v>22</v>
      </c>
      <c r="M4" s="3">
        <v>0</v>
      </c>
      <c r="N4" s="3">
        <v>11.87</v>
      </c>
      <c r="O4" s="4">
        <f>O3+M4-N4</f>
        <v>20442.240000000002</v>
      </c>
      <c r="P4" t="s">
        <v>23</v>
      </c>
    </row>
    <row r="5" spans="1:16">
      <c r="A5" t="s">
        <v>15</v>
      </c>
      <c r="B5" t="s">
        <v>16</v>
      </c>
      <c r="C5" s="2">
        <v>21403.32</v>
      </c>
      <c r="D5" s="1">
        <v>45963</v>
      </c>
      <c r="E5" s="1">
        <v>45963</v>
      </c>
      <c r="F5" t="s">
        <v>28</v>
      </c>
      <c r="H5" t="s">
        <v>18</v>
      </c>
      <c r="I5" t="s">
        <v>29</v>
      </c>
      <c r="J5" t="s">
        <v>30</v>
      </c>
      <c r="K5" t="s">
        <v>31</v>
      </c>
      <c r="L5" t="s">
        <v>22</v>
      </c>
      <c r="M5" s="3">
        <v>0</v>
      </c>
      <c r="N5" s="3">
        <v>3127.21</v>
      </c>
      <c r="O5" s="4">
        <f t="shared" ref="O5:O24" si="0">O4+M5-N5</f>
        <v>17315.030000000002</v>
      </c>
      <c r="P5" t="s">
        <v>23</v>
      </c>
    </row>
    <row r="6" spans="1:16">
      <c r="A6" t="s">
        <v>15</v>
      </c>
      <c r="B6" t="s">
        <v>16</v>
      </c>
      <c r="C6" s="2">
        <v>21403.32</v>
      </c>
      <c r="D6" s="1">
        <v>45964</v>
      </c>
      <c r="E6" s="1">
        <v>45964</v>
      </c>
      <c r="F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s="3">
        <v>0</v>
      </c>
      <c r="N6" s="3">
        <v>418.44</v>
      </c>
      <c r="O6" s="4">
        <f t="shared" si="0"/>
        <v>16896.590000000004</v>
      </c>
      <c r="P6" t="s">
        <v>23</v>
      </c>
    </row>
    <row r="7" spans="1:16">
      <c r="A7" t="s">
        <v>15</v>
      </c>
      <c r="B7" t="s">
        <v>16</v>
      </c>
      <c r="C7" s="2">
        <v>21403.32</v>
      </c>
      <c r="D7" s="1">
        <v>45966</v>
      </c>
      <c r="E7" s="1">
        <v>45966</v>
      </c>
      <c r="H7" t="s">
        <v>38</v>
      </c>
      <c r="I7" t="s">
        <v>39</v>
      </c>
      <c r="J7" t="s">
        <v>40</v>
      </c>
      <c r="K7" t="s">
        <v>41</v>
      </c>
      <c r="L7" t="s">
        <v>22</v>
      </c>
      <c r="M7" s="3">
        <v>11685.13</v>
      </c>
      <c r="N7" s="3">
        <v>0</v>
      </c>
      <c r="O7" s="4">
        <f t="shared" si="0"/>
        <v>28581.72</v>
      </c>
      <c r="P7" t="s">
        <v>23</v>
      </c>
    </row>
    <row r="8" spans="1:16">
      <c r="A8" t="s">
        <v>15</v>
      </c>
      <c r="B8" t="s">
        <v>16</v>
      </c>
      <c r="C8" s="2">
        <v>21403.32</v>
      </c>
      <c r="D8" s="1">
        <v>45971</v>
      </c>
      <c r="E8" s="1">
        <v>45971</v>
      </c>
      <c r="F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22</v>
      </c>
      <c r="M8" s="3">
        <v>0</v>
      </c>
      <c r="N8" s="3">
        <v>21868.55</v>
      </c>
      <c r="O8" s="4">
        <f t="shared" si="0"/>
        <v>6713.1700000000019</v>
      </c>
      <c r="P8" t="s">
        <v>23</v>
      </c>
    </row>
    <row r="9" spans="1:16">
      <c r="A9" t="s">
        <v>15</v>
      </c>
      <c r="B9" t="s">
        <v>16</v>
      </c>
      <c r="C9" s="2">
        <v>21403.32</v>
      </c>
      <c r="D9" s="1">
        <v>45973</v>
      </c>
      <c r="E9" s="1">
        <v>45973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s="3">
        <v>50000</v>
      </c>
      <c r="N9" s="3">
        <v>0</v>
      </c>
      <c r="O9" s="4">
        <f t="shared" si="0"/>
        <v>56713.17</v>
      </c>
      <c r="P9" t="s">
        <v>23</v>
      </c>
    </row>
    <row r="10" spans="1:16">
      <c r="A10" t="s">
        <v>15</v>
      </c>
      <c r="B10" t="s">
        <v>16</v>
      </c>
      <c r="C10" s="2">
        <v>21403.32</v>
      </c>
      <c r="D10" s="1">
        <v>45977</v>
      </c>
      <c r="E10" s="1">
        <v>45977</v>
      </c>
      <c r="F10" t="s">
        <v>52</v>
      </c>
      <c r="H10" t="s">
        <v>33</v>
      </c>
      <c r="I10" t="s">
        <v>53</v>
      </c>
      <c r="J10" t="s">
        <v>54</v>
      </c>
      <c r="K10" t="s">
        <v>55</v>
      </c>
      <c r="L10" t="s">
        <v>37</v>
      </c>
      <c r="M10" s="3">
        <v>0</v>
      </c>
      <c r="N10" s="3">
        <v>2395.75</v>
      </c>
      <c r="O10" s="4">
        <f t="shared" si="0"/>
        <v>54317.42</v>
      </c>
      <c r="P10" t="s">
        <v>23</v>
      </c>
    </row>
    <row r="11" spans="1:16">
      <c r="A11" t="s">
        <v>15</v>
      </c>
      <c r="B11" t="s">
        <v>16</v>
      </c>
      <c r="C11" s="2">
        <v>21403.32</v>
      </c>
      <c r="D11" s="1">
        <v>45977</v>
      </c>
      <c r="E11" s="1">
        <v>45977</v>
      </c>
      <c r="F11" t="s">
        <v>56</v>
      </c>
      <c r="H11" t="s">
        <v>33</v>
      </c>
      <c r="I11" t="s">
        <v>57</v>
      </c>
      <c r="J11" t="s">
        <v>58</v>
      </c>
      <c r="K11" t="s">
        <v>59</v>
      </c>
      <c r="L11" t="s">
        <v>37</v>
      </c>
      <c r="M11" s="3">
        <v>0</v>
      </c>
      <c r="N11" s="3">
        <v>2037.17</v>
      </c>
      <c r="O11" s="4">
        <f t="shared" si="0"/>
        <v>52280.25</v>
      </c>
      <c r="P11" t="s">
        <v>23</v>
      </c>
    </row>
    <row r="12" spans="1:16">
      <c r="A12" t="s">
        <v>15</v>
      </c>
      <c r="B12" t="s">
        <v>16</v>
      </c>
      <c r="C12" s="2">
        <v>21403.32</v>
      </c>
      <c r="D12" s="1">
        <v>45977</v>
      </c>
      <c r="E12" s="1">
        <v>45977</v>
      </c>
      <c r="F12" t="s">
        <v>60</v>
      </c>
      <c r="H12" t="s">
        <v>33</v>
      </c>
      <c r="I12" t="s">
        <v>61</v>
      </c>
      <c r="J12" t="s">
        <v>62</v>
      </c>
      <c r="K12" t="s">
        <v>63</v>
      </c>
      <c r="L12" t="s">
        <v>37</v>
      </c>
      <c r="M12" s="3">
        <v>0</v>
      </c>
      <c r="N12" s="3">
        <v>492.43</v>
      </c>
      <c r="O12" s="4">
        <f t="shared" si="0"/>
        <v>51787.82</v>
      </c>
      <c r="P12" t="s">
        <v>23</v>
      </c>
    </row>
    <row r="13" spans="1:16">
      <c r="A13" t="s">
        <v>15</v>
      </c>
      <c r="B13" t="s">
        <v>16</v>
      </c>
      <c r="C13" s="2">
        <v>21403.32</v>
      </c>
      <c r="D13" s="1">
        <v>45977</v>
      </c>
      <c r="E13" s="1">
        <v>45977</v>
      </c>
      <c r="F13" t="s">
        <v>64</v>
      </c>
      <c r="H13" t="s">
        <v>33</v>
      </c>
      <c r="I13" t="s">
        <v>65</v>
      </c>
      <c r="J13" t="s">
        <v>66</v>
      </c>
      <c r="K13" t="s">
        <v>67</v>
      </c>
      <c r="L13" t="s">
        <v>37</v>
      </c>
      <c r="M13" s="3">
        <v>0</v>
      </c>
      <c r="N13" s="3">
        <v>273.57</v>
      </c>
      <c r="O13" s="4">
        <f t="shared" si="0"/>
        <v>51514.25</v>
      </c>
      <c r="P13" t="s">
        <v>23</v>
      </c>
    </row>
    <row r="14" spans="1:16">
      <c r="A14" t="s">
        <v>15</v>
      </c>
      <c r="B14" t="s">
        <v>16</v>
      </c>
      <c r="C14" s="2">
        <v>21403.32</v>
      </c>
      <c r="D14" s="1">
        <v>45977</v>
      </c>
      <c r="E14" s="1">
        <v>45977</v>
      </c>
      <c r="F14" t="s">
        <v>68</v>
      </c>
      <c r="H14" t="s">
        <v>33</v>
      </c>
      <c r="I14" t="s">
        <v>69</v>
      </c>
      <c r="J14" t="s">
        <v>70</v>
      </c>
      <c r="K14" t="s">
        <v>71</v>
      </c>
      <c r="L14" t="s">
        <v>37</v>
      </c>
      <c r="M14" s="3">
        <v>0</v>
      </c>
      <c r="N14" s="3">
        <v>153.01</v>
      </c>
      <c r="O14" s="4">
        <f t="shared" si="0"/>
        <v>51361.24</v>
      </c>
      <c r="P14" t="s">
        <v>23</v>
      </c>
    </row>
    <row r="15" spans="1:16">
      <c r="A15" t="s">
        <v>15</v>
      </c>
      <c r="B15" t="s">
        <v>16</v>
      </c>
      <c r="C15" s="2">
        <v>21403.32</v>
      </c>
      <c r="D15" s="1">
        <v>45977</v>
      </c>
      <c r="E15" s="1">
        <v>45977</v>
      </c>
      <c r="F15" t="s">
        <v>72</v>
      </c>
      <c r="H15" t="s">
        <v>33</v>
      </c>
      <c r="I15" t="s">
        <v>73</v>
      </c>
      <c r="J15" t="s">
        <v>74</v>
      </c>
      <c r="K15" t="s">
        <v>75</v>
      </c>
      <c r="L15" t="s">
        <v>37</v>
      </c>
      <c r="M15" s="3">
        <v>0</v>
      </c>
      <c r="N15" s="3">
        <v>43.28</v>
      </c>
      <c r="O15" s="4">
        <f t="shared" si="0"/>
        <v>51317.96</v>
      </c>
      <c r="P15" t="s">
        <v>23</v>
      </c>
    </row>
    <row r="16" spans="1:16">
      <c r="A16" t="s">
        <v>15</v>
      </c>
      <c r="B16" t="s">
        <v>16</v>
      </c>
      <c r="C16" s="2">
        <v>21403.32</v>
      </c>
      <c r="D16" s="1">
        <v>45977</v>
      </c>
      <c r="E16" s="1">
        <v>45977</v>
      </c>
      <c r="F16" t="s">
        <v>76</v>
      </c>
      <c r="H16" t="s">
        <v>77</v>
      </c>
      <c r="I16" t="s">
        <v>78</v>
      </c>
      <c r="J16" t="s">
        <v>79</v>
      </c>
      <c r="K16" t="s">
        <v>80</v>
      </c>
      <c r="L16" t="s">
        <v>37</v>
      </c>
      <c r="M16" s="3">
        <v>0</v>
      </c>
      <c r="N16" s="3">
        <v>2841.42</v>
      </c>
      <c r="O16" s="4">
        <f t="shared" si="0"/>
        <v>48476.54</v>
      </c>
      <c r="P16" t="s">
        <v>23</v>
      </c>
    </row>
    <row r="17" spans="1:16">
      <c r="A17" t="s">
        <v>15</v>
      </c>
      <c r="B17" t="s">
        <v>16</v>
      </c>
      <c r="C17" s="2">
        <v>21403.32</v>
      </c>
      <c r="D17" s="1">
        <v>45977</v>
      </c>
      <c r="E17" s="1">
        <v>45977</v>
      </c>
      <c r="F17" t="s">
        <v>81</v>
      </c>
      <c r="H17" t="s">
        <v>33</v>
      </c>
      <c r="I17" t="s">
        <v>82</v>
      </c>
      <c r="J17" t="s">
        <v>83</v>
      </c>
      <c r="K17" t="s">
        <v>84</v>
      </c>
      <c r="L17" t="s">
        <v>37</v>
      </c>
      <c r="M17" s="3">
        <v>0</v>
      </c>
      <c r="N17" s="3">
        <v>1388.71</v>
      </c>
      <c r="O17" s="4">
        <f t="shared" si="0"/>
        <v>47087.83</v>
      </c>
      <c r="P17" t="s">
        <v>23</v>
      </c>
    </row>
    <row r="18" spans="1:16">
      <c r="A18" t="s">
        <v>15</v>
      </c>
      <c r="B18" t="s">
        <v>16</v>
      </c>
      <c r="C18" s="2">
        <v>21403.32</v>
      </c>
      <c r="D18" s="1">
        <v>45977</v>
      </c>
      <c r="E18" s="1">
        <v>45977</v>
      </c>
      <c r="F18" t="s">
        <v>85</v>
      </c>
      <c r="H18" t="s">
        <v>33</v>
      </c>
      <c r="I18" t="s">
        <v>86</v>
      </c>
      <c r="J18" t="s">
        <v>87</v>
      </c>
      <c r="K18" t="s">
        <v>88</v>
      </c>
      <c r="L18" t="s">
        <v>37</v>
      </c>
      <c r="M18" s="3">
        <v>0</v>
      </c>
      <c r="N18" s="3">
        <v>410.2</v>
      </c>
      <c r="O18" s="4">
        <f t="shared" si="0"/>
        <v>46677.630000000005</v>
      </c>
      <c r="P18" t="s">
        <v>23</v>
      </c>
    </row>
    <row r="19" spans="1:16">
      <c r="A19" t="s">
        <v>15</v>
      </c>
      <c r="B19" t="s">
        <v>16</v>
      </c>
      <c r="C19" s="2">
        <v>21403.32</v>
      </c>
      <c r="D19" s="1">
        <v>45980</v>
      </c>
      <c r="E19" s="1">
        <v>45980</v>
      </c>
      <c r="F19" t="s">
        <v>89</v>
      </c>
      <c r="H19" t="s">
        <v>90</v>
      </c>
      <c r="I19" t="s">
        <v>91</v>
      </c>
      <c r="J19" t="s">
        <v>92</v>
      </c>
      <c r="K19" t="s">
        <v>93</v>
      </c>
      <c r="L19" t="s">
        <v>94</v>
      </c>
      <c r="M19" s="3">
        <v>34.57</v>
      </c>
      <c r="N19" s="3">
        <v>0</v>
      </c>
      <c r="O19" s="4">
        <f t="shared" si="0"/>
        <v>46712.200000000004</v>
      </c>
      <c r="P19" t="s">
        <v>23</v>
      </c>
    </row>
    <row r="20" spans="1:16">
      <c r="A20" t="s">
        <v>15</v>
      </c>
      <c r="B20" t="s">
        <v>16</v>
      </c>
      <c r="C20" s="2">
        <v>21403.32</v>
      </c>
      <c r="D20" s="1">
        <v>45980</v>
      </c>
      <c r="E20" s="1">
        <v>45980</v>
      </c>
      <c r="F20" t="s">
        <v>95</v>
      </c>
      <c r="H20" t="s">
        <v>33</v>
      </c>
      <c r="I20" t="s">
        <v>86</v>
      </c>
      <c r="J20" t="s">
        <v>87</v>
      </c>
      <c r="K20" t="s">
        <v>96</v>
      </c>
      <c r="L20" t="s">
        <v>37</v>
      </c>
      <c r="M20" s="3">
        <v>0</v>
      </c>
      <c r="N20" s="3">
        <v>90.32</v>
      </c>
      <c r="O20" s="4">
        <f t="shared" si="0"/>
        <v>46621.880000000005</v>
      </c>
      <c r="P20" t="s">
        <v>23</v>
      </c>
    </row>
    <row r="21" spans="1:16">
      <c r="A21" t="s">
        <v>15</v>
      </c>
      <c r="B21" t="s">
        <v>16</v>
      </c>
      <c r="C21" s="2">
        <v>21403.32</v>
      </c>
      <c r="D21" s="1">
        <v>45980</v>
      </c>
      <c r="E21" s="1">
        <v>45980</v>
      </c>
      <c r="H21" t="s">
        <v>97</v>
      </c>
      <c r="I21" t="s">
        <v>98</v>
      </c>
      <c r="J21" t="s">
        <v>99</v>
      </c>
      <c r="K21" t="s">
        <v>100</v>
      </c>
      <c r="L21" t="s">
        <v>51</v>
      </c>
      <c r="M21" s="3">
        <v>810</v>
      </c>
      <c r="N21" s="3">
        <v>0</v>
      </c>
      <c r="O21" s="4">
        <f t="shared" si="0"/>
        <v>47431.880000000005</v>
      </c>
      <c r="P21" t="s">
        <v>23</v>
      </c>
    </row>
    <row r="22" spans="1:16">
      <c r="A22" t="s">
        <v>15</v>
      </c>
      <c r="B22" t="s">
        <v>16</v>
      </c>
      <c r="C22" s="2">
        <v>21403.32</v>
      </c>
      <c r="D22" s="1">
        <v>45981</v>
      </c>
      <c r="E22" s="1">
        <v>45981</v>
      </c>
      <c r="F22" t="s">
        <v>101</v>
      </c>
      <c r="H22" t="s">
        <v>102</v>
      </c>
      <c r="I22" t="s">
        <v>103</v>
      </c>
      <c r="J22" t="s">
        <v>104</v>
      </c>
      <c r="K22" t="s">
        <v>105</v>
      </c>
      <c r="L22" t="s">
        <v>22</v>
      </c>
      <c r="M22" s="3">
        <v>197.91</v>
      </c>
      <c r="N22" s="3">
        <v>0</v>
      </c>
      <c r="O22" s="4">
        <f t="shared" si="0"/>
        <v>47629.790000000008</v>
      </c>
      <c r="P22" t="s">
        <v>23</v>
      </c>
    </row>
    <row r="23" spans="1:16">
      <c r="A23" t="s">
        <v>15</v>
      </c>
      <c r="B23" t="s">
        <v>16</v>
      </c>
      <c r="C23" s="2">
        <v>21403.32</v>
      </c>
      <c r="D23" s="1">
        <v>45981</v>
      </c>
      <c r="E23" s="1">
        <v>45981</v>
      </c>
      <c r="F23" t="s">
        <v>106</v>
      </c>
      <c r="H23" t="s">
        <v>107</v>
      </c>
      <c r="I23" t="s">
        <v>108</v>
      </c>
      <c r="J23" t="s">
        <v>109</v>
      </c>
      <c r="K23" t="s">
        <v>110</v>
      </c>
      <c r="L23" t="s">
        <v>22</v>
      </c>
      <c r="M23" s="3">
        <v>0</v>
      </c>
      <c r="N23" s="3">
        <v>17928.2</v>
      </c>
      <c r="O23" s="4">
        <f t="shared" si="0"/>
        <v>29701.590000000007</v>
      </c>
      <c r="P23" t="s">
        <v>23</v>
      </c>
    </row>
    <row r="24" spans="1:16" s="5" customFormat="1">
      <c r="A24" s="5" t="s">
        <v>15</v>
      </c>
      <c r="B24" s="5" t="s">
        <v>16</v>
      </c>
      <c r="C24" s="6">
        <v>21403.32</v>
      </c>
      <c r="D24" s="7">
        <v>45984</v>
      </c>
      <c r="E24" s="7">
        <v>45984</v>
      </c>
      <c r="F24" s="5" t="s">
        <v>111</v>
      </c>
      <c r="H24" s="5" t="s">
        <v>112</v>
      </c>
      <c r="I24" s="5" t="s">
        <v>113</v>
      </c>
      <c r="J24" s="5" t="s">
        <v>114</v>
      </c>
      <c r="K24" s="5" t="s">
        <v>115</v>
      </c>
      <c r="L24" s="5" t="s">
        <v>22</v>
      </c>
      <c r="M24" s="8">
        <v>0</v>
      </c>
      <c r="N24" s="8">
        <v>13335.06</v>
      </c>
      <c r="O24" s="9">
        <f t="shared" si="0"/>
        <v>16366.530000000008</v>
      </c>
      <c r="P24" s="5" t="s">
        <v>23</v>
      </c>
    </row>
    <row r="25" spans="1:16">
      <c r="A25" t="s">
        <v>48</v>
      </c>
      <c r="B25" t="s">
        <v>49</v>
      </c>
      <c r="C25" s="2">
        <v>102379.7</v>
      </c>
      <c r="D25" s="1">
        <v>45963</v>
      </c>
      <c r="E25" s="1">
        <v>45963</v>
      </c>
      <c r="F25" t="s">
        <v>28</v>
      </c>
      <c r="H25" t="s">
        <v>116</v>
      </c>
      <c r="I25" t="s">
        <v>117</v>
      </c>
      <c r="J25" t="s">
        <v>118</v>
      </c>
      <c r="K25" t="s">
        <v>119</v>
      </c>
      <c r="L25" t="s">
        <v>22</v>
      </c>
      <c r="M25" s="3">
        <v>0</v>
      </c>
      <c r="N25" s="3">
        <v>3236.76</v>
      </c>
      <c r="O25" s="4">
        <f>C25+M25-N25</f>
        <v>99142.94</v>
      </c>
      <c r="P25" t="s">
        <v>23</v>
      </c>
    </row>
    <row r="26" spans="1:16">
      <c r="A26" t="s">
        <v>48</v>
      </c>
      <c r="B26" t="s">
        <v>49</v>
      </c>
      <c r="C26" s="2">
        <v>102379.7</v>
      </c>
      <c r="D26" s="1">
        <v>45963</v>
      </c>
      <c r="E26" s="1">
        <v>45963</v>
      </c>
      <c r="F26" t="s">
        <v>24</v>
      </c>
      <c r="H26" t="s">
        <v>116</v>
      </c>
      <c r="I26" t="s">
        <v>120</v>
      </c>
      <c r="J26" t="s">
        <v>121</v>
      </c>
      <c r="K26" t="s">
        <v>122</v>
      </c>
      <c r="L26" t="s">
        <v>22</v>
      </c>
      <c r="M26" s="3">
        <v>0</v>
      </c>
      <c r="N26" s="3">
        <v>178.5</v>
      </c>
      <c r="O26" s="4">
        <f>O25+M26-N26</f>
        <v>98964.44</v>
      </c>
      <c r="P26" t="s">
        <v>23</v>
      </c>
    </row>
    <row r="27" spans="1:16">
      <c r="A27" t="s">
        <v>48</v>
      </c>
      <c r="B27" t="s">
        <v>49</v>
      </c>
      <c r="C27" s="2">
        <v>102379.7</v>
      </c>
      <c r="D27" s="1">
        <v>45965</v>
      </c>
      <c r="E27" s="1">
        <v>45965</v>
      </c>
      <c r="F27" t="s">
        <v>123</v>
      </c>
      <c r="H27" t="s">
        <v>33</v>
      </c>
      <c r="I27" t="s">
        <v>124</v>
      </c>
      <c r="J27" t="s">
        <v>125</v>
      </c>
      <c r="K27" t="s">
        <v>126</v>
      </c>
      <c r="L27" t="s">
        <v>37</v>
      </c>
      <c r="M27" s="3">
        <v>0</v>
      </c>
      <c r="N27" s="3">
        <v>2214</v>
      </c>
      <c r="O27" s="4">
        <f t="shared" ref="O27:O31" si="1">O26+M27-N27</f>
        <v>96750.44</v>
      </c>
      <c r="P27" t="s">
        <v>23</v>
      </c>
    </row>
    <row r="28" spans="1:16">
      <c r="A28" t="s">
        <v>48</v>
      </c>
      <c r="B28" t="s">
        <v>49</v>
      </c>
      <c r="C28" s="2">
        <v>102379.7</v>
      </c>
      <c r="D28" s="1">
        <v>45965</v>
      </c>
      <c r="E28" s="1">
        <v>45965</v>
      </c>
      <c r="F28" t="s">
        <v>17</v>
      </c>
      <c r="H28" t="s">
        <v>116</v>
      </c>
      <c r="I28" t="s">
        <v>127</v>
      </c>
      <c r="J28" t="s">
        <v>128</v>
      </c>
      <c r="K28" t="s">
        <v>129</v>
      </c>
      <c r="L28" t="s">
        <v>22</v>
      </c>
      <c r="M28" s="3">
        <v>0</v>
      </c>
      <c r="N28" s="3">
        <v>18.68</v>
      </c>
      <c r="O28" s="4">
        <f t="shared" si="1"/>
        <v>96731.760000000009</v>
      </c>
      <c r="P28" t="s">
        <v>23</v>
      </c>
    </row>
    <row r="29" spans="1:16">
      <c r="A29" t="s">
        <v>48</v>
      </c>
      <c r="B29" t="s">
        <v>49</v>
      </c>
      <c r="C29" s="2">
        <v>102379.7</v>
      </c>
      <c r="D29" s="1">
        <v>45973</v>
      </c>
      <c r="E29" s="1">
        <v>45973</v>
      </c>
      <c r="H29" t="s">
        <v>47</v>
      </c>
      <c r="I29" t="s">
        <v>15</v>
      </c>
      <c r="J29" t="s">
        <v>16</v>
      </c>
      <c r="K29" t="s">
        <v>50</v>
      </c>
      <c r="L29" t="s">
        <v>51</v>
      </c>
      <c r="M29" s="3">
        <v>0</v>
      </c>
      <c r="N29" s="3">
        <v>50000</v>
      </c>
      <c r="O29" s="4">
        <f t="shared" si="1"/>
        <v>46731.760000000009</v>
      </c>
      <c r="P29" t="s">
        <v>23</v>
      </c>
    </row>
    <row r="30" spans="1:16">
      <c r="A30" t="s">
        <v>48</v>
      </c>
      <c r="B30" t="s">
        <v>49</v>
      </c>
      <c r="C30" s="2">
        <v>102379.7</v>
      </c>
      <c r="D30" s="1">
        <v>45977</v>
      </c>
      <c r="E30" s="1">
        <v>45977</v>
      </c>
      <c r="F30" t="s">
        <v>130</v>
      </c>
      <c r="H30" t="s">
        <v>33</v>
      </c>
      <c r="I30" t="s">
        <v>131</v>
      </c>
      <c r="J30" t="s">
        <v>132</v>
      </c>
      <c r="K30" t="s">
        <v>133</v>
      </c>
      <c r="L30" t="s">
        <v>37</v>
      </c>
      <c r="M30" s="3">
        <v>0</v>
      </c>
      <c r="N30" s="3">
        <v>4922.22</v>
      </c>
      <c r="O30" s="4">
        <f t="shared" si="1"/>
        <v>41809.540000000008</v>
      </c>
      <c r="P30" t="s">
        <v>23</v>
      </c>
    </row>
    <row r="31" spans="1:16" s="5" customFormat="1">
      <c r="A31" s="5" t="s">
        <v>48</v>
      </c>
      <c r="B31" s="5" t="s">
        <v>49</v>
      </c>
      <c r="C31" s="6">
        <v>102379.7</v>
      </c>
      <c r="D31" s="7">
        <v>45977</v>
      </c>
      <c r="E31" s="7">
        <v>45977</v>
      </c>
      <c r="F31" s="5" t="s">
        <v>134</v>
      </c>
      <c r="H31" s="5" t="s">
        <v>33</v>
      </c>
      <c r="I31" s="5" t="s">
        <v>135</v>
      </c>
      <c r="J31" s="5" t="s">
        <v>136</v>
      </c>
      <c r="K31" s="5" t="s">
        <v>137</v>
      </c>
      <c r="L31" s="5" t="s">
        <v>37</v>
      </c>
      <c r="M31" s="8">
        <v>0</v>
      </c>
      <c r="N31" s="8">
        <v>1426.5</v>
      </c>
      <c r="O31" s="9">
        <f t="shared" si="1"/>
        <v>40383.040000000008</v>
      </c>
      <c r="P31" s="5" t="s">
        <v>23</v>
      </c>
    </row>
    <row r="32" spans="1:16" s="5" customFormat="1">
      <c r="A32" s="5" t="s">
        <v>138</v>
      </c>
      <c r="B32" s="5" t="s">
        <v>139</v>
      </c>
      <c r="C32" s="6">
        <v>1362.98</v>
      </c>
      <c r="D32" s="7">
        <v>45963</v>
      </c>
      <c r="E32" s="7">
        <v>45963</v>
      </c>
      <c r="F32" s="5" t="s">
        <v>28</v>
      </c>
      <c r="H32" s="5" t="s">
        <v>116</v>
      </c>
      <c r="I32" s="5" t="s">
        <v>140</v>
      </c>
      <c r="J32" s="5" t="s">
        <v>141</v>
      </c>
      <c r="K32" s="5" t="s">
        <v>142</v>
      </c>
      <c r="L32" s="5" t="s">
        <v>22</v>
      </c>
      <c r="M32" s="8">
        <v>0</v>
      </c>
      <c r="N32" s="8">
        <v>495.98</v>
      </c>
      <c r="O32" s="9">
        <f>C32+M32-N32</f>
        <v>867</v>
      </c>
      <c r="P32" s="5" t="s">
        <v>23</v>
      </c>
    </row>
    <row r="33" spans="1:16" s="5" customFormat="1">
      <c r="A33" s="5" t="s">
        <v>143</v>
      </c>
      <c r="B33" s="5" t="s">
        <v>144</v>
      </c>
      <c r="C33" s="6">
        <v>99.44</v>
      </c>
      <c r="M33" s="8">
        <v>0</v>
      </c>
      <c r="N33" s="8">
        <v>0</v>
      </c>
      <c r="O33" s="9">
        <f t="shared" ref="O33:O36" si="2">C33+M33-N33</f>
        <v>99.44</v>
      </c>
      <c r="P33" s="5" t="s">
        <v>23</v>
      </c>
    </row>
    <row r="34" spans="1:16" s="5" customFormat="1">
      <c r="A34" s="5" t="s">
        <v>145</v>
      </c>
      <c r="B34" s="5" t="s">
        <v>146</v>
      </c>
      <c r="C34" s="6">
        <v>49607.88</v>
      </c>
      <c r="M34" s="8">
        <v>0</v>
      </c>
      <c r="N34" s="8">
        <v>0</v>
      </c>
      <c r="O34" s="9">
        <f t="shared" si="2"/>
        <v>49607.88</v>
      </c>
      <c r="P34" s="5" t="s">
        <v>23</v>
      </c>
    </row>
    <row r="35" spans="1:16" s="5" customFormat="1">
      <c r="A35" s="5" t="s">
        <v>147</v>
      </c>
      <c r="B35" s="5" t="s">
        <v>148</v>
      </c>
      <c r="C35" s="6">
        <v>266.88</v>
      </c>
      <c r="M35" s="8">
        <v>0</v>
      </c>
      <c r="N35" s="8">
        <v>0</v>
      </c>
      <c r="O35" s="9">
        <f t="shared" si="2"/>
        <v>266.88</v>
      </c>
      <c r="P35" s="5" t="s">
        <v>23</v>
      </c>
    </row>
    <row r="36" spans="1:16" s="5" customFormat="1">
      <c r="A36" s="5" t="s">
        <v>98</v>
      </c>
      <c r="B36" s="5" t="s">
        <v>99</v>
      </c>
      <c r="C36" s="6">
        <v>816.13</v>
      </c>
      <c r="D36" s="7">
        <v>45980</v>
      </c>
      <c r="E36" s="7">
        <v>45980</v>
      </c>
      <c r="H36" s="5" t="s">
        <v>97</v>
      </c>
      <c r="I36" s="5" t="s">
        <v>15</v>
      </c>
      <c r="J36" s="5" t="s">
        <v>16</v>
      </c>
      <c r="K36" s="5" t="s">
        <v>100</v>
      </c>
      <c r="L36" s="5" t="s">
        <v>51</v>
      </c>
      <c r="M36" s="8">
        <v>0</v>
      </c>
      <c r="N36" s="8">
        <v>810</v>
      </c>
      <c r="O36" s="9">
        <f t="shared" si="2"/>
        <v>6.1299999999999955</v>
      </c>
      <c r="P36" s="5" t="s">
        <v>23</v>
      </c>
    </row>
    <row r="38" spans="1:16" ht="15" thickBot="1">
      <c r="N38" s="10" t="s">
        <v>149</v>
      </c>
      <c r="O38" s="12">
        <f>O24+O31+O32+O33+O34+O35+O36</f>
        <v>107596.90000000002</v>
      </c>
      <c r="P38" s="11" t="s">
        <v>23</v>
      </c>
    </row>
    <row r="39" spans="1:16" ht="15" thickTop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mount xmlns="bf6e26dd-18a8-4616-a791-cb157ef1bf56" xsi:nil="true"/>
    <lcf76f155ced4ddcb4097134ff3c332f xmlns="d4108fd0-bac5-48aa-9f20-39453d102dac">
      <Terms xmlns="http://schemas.microsoft.com/office/infopath/2007/PartnerControls"/>
    </lcf76f155ced4ddcb4097134ff3c332f>
    <Paid xmlns="bf6e26dd-18a8-4616-a791-cb157ef1bf56">true</Paid>
    <Currency xmlns="bf6e26dd-18a8-4616-a791-cb157ef1bf56" xsi:nil="true"/>
    <_x0069_ar6 xmlns="bf6e26dd-18a8-4616-a791-cb157ef1bf56" xsi:nil="true"/>
    <Paper_x0020_Invoice xmlns="bf6e26dd-18a8-4616-a791-cb157ef1bf56">true</Paper_x0020_Invoice>
    <printed xmlns="bf6e26dd-18a8-4616-a791-cb157ef1bf56">true</printed>
    <Invoice_x0020_date xmlns="bf6e26dd-18a8-4616-a791-cb157ef1bf56" xsi:nil="true"/>
    <Payment_x0020_Date xmlns="bf6e26dd-18a8-4616-a791-cb157ef1bf56" xsi:nil="true"/>
    <_x05e9__x05d5__x05dc__x05dd_ xmlns="bf6e26dd-18a8-4616-a791-cb157ef1bf56">true</_x05e9__x05d5__x05dc__x05dd_>
    <TaxCatchAll xmlns="2af0a221-e6e5-4f13-a0b5-c8b7582ab82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ED5E569D553A40AE8A0585BABBF674" ma:contentTypeVersion="28" ma:contentTypeDescription="Create a new document." ma:contentTypeScope="" ma:versionID="0f0386f5fb46f34a7047c9267d79960a">
  <xsd:schema xmlns:xsd="http://www.w3.org/2001/XMLSchema" xmlns:xs="http://www.w3.org/2001/XMLSchema" xmlns:p="http://schemas.microsoft.com/office/2006/metadata/properties" xmlns:ns2="bf6e26dd-18a8-4616-a791-cb157ef1bf56" xmlns:ns3="2af0a221-e6e5-4f13-a0b5-c8b7582ab823" xmlns:ns4="d4108fd0-bac5-48aa-9f20-39453d102dac" targetNamespace="http://schemas.microsoft.com/office/2006/metadata/properties" ma:root="true" ma:fieldsID="81ec9e367a933ed0cbc2e855037c1f4c" ns2:_="" ns3:_="" ns4:_="">
    <xsd:import namespace="bf6e26dd-18a8-4616-a791-cb157ef1bf56"/>
    <xsd:import namespace="2af0a221-e6e5-4f13-a0b5-c8b7582ab823"/>
    <xsd:import namespace="d4108fd0-bac5-48aa-9f20-39453d102dac"/>
    <xsd:element name="properties">
      <xsd:complexType>
        <xsd:sequence>
          <xsd:element name="documentManagement">
            <xsd:complexType>
              <xsd:all>
                <xsd:element ref="ns2:Invoice_x0020_date" minOccurs="0"/>
                <xsd:element ref="ns2:Currency" minOccurs="0"/>
                <xsd:element ref="ns2:Amount" minOccurs="0"/>
                <xsd:element ref="ns2:Payment_x0020_Date" minOccurs="0"/>
                <xsd:element ref="ns2:Paid" minOccurs="0"/>
                <xsd:element ref="ns2:Paper_x0020_Invoice" minOccurs="0"/>
                <xsd:element ref="ns2:printed" minOccurs="0"/>
                <xsd:element ref="ns2:_x0069_ar6" minOccurs="0"/>
                <xsd:element ref="ns2:_x05e9__x05d5__x05dc__x05dd_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lcf76f155ced4ddcb4097134ff3c332f" minOccurs="0"/>
                <xsd:element ref="ns3:TaxCatchAll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e26dd-18a8-4616-a791-cb157ef1bf56" elementFormDefault="qualified">
    <xsd:import namespace="http://schemas.microsoft.com/office/2006/documentManagement/types"/>
    <xsd:import namespace="http://schemas.microsoft.com/office/infopath/2007/PartnerControls"/>
    <xsd:element name="Invoice_x0020_date" ma:index="8" nillable="true" ma:displayName="Invoice date" ma:format="DateOnly" ma:internalName="Invoice_x0020_date">
      <xsd:simpleType>
        <xsd:restriction base="dms:DateTime"/>
      </xsd:simpleType>
    </xsd:element>
    <xsd:element name="Currency" ma:index="9" nillable="true" ma:displayName="Currency" ma:LCID="1033" ma:internalName="Currency">
      <xsd:simpleType>
        <xsd:restriction base="dms:Currency"/>
      </xsd:simpleType>
    </xsd:element>
    <xsd:element name="Amount" ma:index="10" nillable="true" ma:displayName="Amount" ma:internalName="Amount">
      <xsd:simpleType>
        <xsd:restriction base="dms:Number"/>
      </xsd:simpleType>
    </xsd:element>
    <xsd:element name="Payment_x0020_Date" ma:index="11" nillable="true" ma:displayName="Payment Date" ma:format="DateOnly" ma:internalName="Payment_x0020_Date">
      <xsd:simpleType>
        <xsd:restriction base="dms:DateTime"/>
      </xsd:simpleType>
    </xsd:element>
    <xsd:element name="Paid" ma:index="12" nillable="true" ma:displayName="Paid" ma:default="1" ma:internalName="Paid">
      <xsd:simpleType>
        <xsd:restriction base="dms:Boolean"/>
      </xsd:simpleType>
    </xsd:element>
    <xsd:element name="Paper_x0020_Invoice" ma:index="13" nillable="true" ma:displayName="Paper Invoice" ma:default="1" ma:internalName="Paper_x0020_Invoice">
      <xsd:simpleType>
        <xsd:restriction base="dms:Boolean"/>
      </xsd:simpleType>
    </xsd:element>
    <xsd:element name="printed" ma:index="14" nillable="true" ma:displayName="printed" ma:default="1" ma:internalName="printed">
      <xsd:simpleType>
        <xsd:restriction base="dms:Boolean"/>
      </xsd:simpleType>
    </xsd:element>
    <xsd:element name="_x0069_ar6" ma:index="15" nillable="true" ma:displayName="comments" ma:internalName="comments">
      <xsd:simpleType>
        <xsd:restriction base="dms:Text"/>
      </xsd:simpleType>
    </xsd:element>
    <xsd:element name="_x05e9__x05d5__x05dc__x05dd_" ma:index="16" nillable="true" ma:displayName="שולם" ma:default="1" ma:internalName="_x05e9__x05d5__x05dc__x05dd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0a221-e6e5-4f13-a0b5-c8b7582ab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69fd50b9-1309-43d4-8f81-e2e219870528}" ma:internalName="TaxCatchAll" ma:showField="CatchAllData" ma:web="2af0a221-e6e5-4f13-a0b5-c8b7582ab8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08fd0-bac5-48aa-9f20-39453d102d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ed4fa224-d827-46e9-8e8b-c04fa556ee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B39D0C-13C4-4CD6-9C36-8B8FC684B948}"/>
</file>

<file path=customXml/itemProps2.xml><?xml version="1.0" encoding="utf-8"?>
<ds:datastoreItem xmlns:ds="http://schemas.openxmlformats.org/officeDocument/2006/customXml" ds:itemID="{58E690CA-FE0D-47DD-9491-F2C15632FBA0}"/>
</file>

<file path=customXml/itemProps3.xml><?xml version="1.0" encoding="utf-8"?>
<ds:datastoreItem xmlns:ds="http://schemas.openxmlformats.org/officeDocument/2006/customXml" ds:itemID="{846C7F6F-1DE8-46A2-9AF8-F2A5D1D051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 Azaria</dc:creator>
  <cp:keywords/>
  <dc:description/>
  <cp:lastModifiedBy>Lea Azaria</cp:lastModifiedBy>
  <cp:revision/>
  <dcterms:created xsi:type="dcterms:W3CDTF">2025-11-24T08:26:00Z</dcterms:created>
  <dcterms:modified xsi:type="dcterms:W3CDTF">2025-12-22T14:28:13Z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0x01010026ED5E569D553A40AE8A0585BABBF674</vt:lpwstr>
  </property>
  <property fmtid="{D5CDD505-2E9C-101B-9397-08002B2CF9AE}" pid="3" name="MediaServiceImageTags">
    <vt:lpwstr/>
  </property>
</Properties>
</file>